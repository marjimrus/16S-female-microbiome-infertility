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Projects\Ion-Torrent\"/>
    </mc:Choice>
  </mc:AlternateContent>
  <bookViews>
    <workbookView xWindow="0" yWindow="0" windowWidth="18945" windowHeight="11700"/>
  </bookViews>
  <sheets>
    <sheet name="Hoja 1 - abundance_family_table" sheetId="1" r:id="rId1"/>
  </sheets>
  <calcPr calcId="162913"/>
</workbook>
</file>

<file path=xl/calcChain.xml><?xml version="1.0" encoding="utf-8"?>
<calcChain xmlns="http://schemas.openxmlformats.org/spreadsheetml/2006/main">
  <c r="C97" i="1" l="1"/>
  <c r="C98" i="1"/>
  <c r="C99" i="1"/>
  <c r="C100" i="1"/>
  <c r="C101" i="1"/>
  <c r="C102" i="1"/>
  <c r="C103" i="1"/>
  <c r="C104" i="1"/>
  <c r="C105" i="1"/>
  <c r="C106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27" i="1"/>
  <c r="C28" i="1"/>
  <c r="C29" i="1"/>
  <c r="C30" i="1"/>
  <c r="C31" i="1"/>
  <c r="C32" i="1"/>
  <c r="C33" i="1"/>
  <c r="C34" i="1"/>
  <c r="C35" i="1"/>
  <c r="C36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<sst xmlns="http://schemas.openxmlformats.org/spreadsheetml/2006/main" count="1486" uniqueCount="167">
  <si>
    <t>SubjectID</t>
  </si>
  <si>
    <t>FRT</t>
  </si>
  <si>
    <t>GIT</t>
  </si>
  <si>
    <t>Endometriosis</t>
  </si>
  <si>
    <t>Age</t>
  </si>
  <si>
    <t>Contraceptives</t>
  </si>
  <si>
    <t>Eutirox</t>
  </si>
  <si>
    <t>Alcohol</t>
  </si>
  <si>
    <t>Tobacco</t>
  </si>
  <si>
    <t>Endometrium</t>
  </si>
  <si>
    <t>Polyp</t>
  </si>
  <si>
    <t>Yes</t>
  </si>
  <si>
    <t>No</t>
  </si>
  <si>
    <t>Endometrial fluid</t>
  </si>
  <si>
    <t>Vagina</t>
  </si>
  <si>
    <t>Feces</t>
  </si>
  <si>
    <t>Eritroplasia</t>
  </si>
  <si>
    <t>Oral</t>
  </si>
  <si>
    <t>Hidrosalpinx</t>
  </si>
  <si>
    <t>NA</t>
  </si>
  <si>
    <t>Ovarian failure</t>
  </si>
  <si>
    <t>Chronic endometritis</t>
  </si>
  <si>
    <t>Unicornuate uterus</t>
  </si>
  <si>
    <t>PCOS</t>
  </si>
  <si>
    <t>Gynecological_Diagnosis</t>
  </si>
  <si>
    <t>Study_Group</t>
  </si>
  <si>
    <t>Eggs_Receptor</t>
  </si>
  <si>
    <t>Other_Drugs</t>
  </si>
  <si>
    <t>Other_Conditions</t>
  </si>
  <si>
    <t>Ovarian failure-Síndrome de Turner</t>
  </si>
  <si>
    <t>Body_Site</t>
  </si>
  <si>
    <t>Sample_Type</t>
  </si>
  <si>
    <t>Autoimmune_Disease</t>
  </si>
  <si>
    <t>Subject1</t>
  </si>
  <si>
    <t>Subject10</t>
  </si>
  <si>
    <t>Subject11</t>
  </si>
  <si>
    <t>Subject12</t>
  </si>
  <si>
    <t>Subject13</t>
  </si>
  <si>
    <t>Subject14</t>
  </si>
  <si>
    <t>Subject15</t>
  </si>
  <si>
    <t>Subject16</t>
  </si>
  <si>
    <t>Subject17</t>
  </si>
  <si>
    <t>Subject18</t>
  </si>
  <si>
    <t>Subject19</t>
  </si>
  <si>
    <t>Subject2</t>
  </si>
  <si>
    <t>Subject20</t>
  </si>
  <si>
    <t>Subject21</t>
  </si>
  <si>
    <t>Subject3</t>
  </si>
  <si>
    <t>Subject4</t>
  </si>
  <si>
    <t>Subject5</t>
  </si>
  <si>
    <t>Subject6</t>
  </si>
  <si>
    <t>Subject7</t>
  </si>
  <si>
    <t>Subject8</t>
  </si>
  <si>
    <t>Subject9</t>
  </si>
  <si>
    <t>Bam_File</t>
  </si>
  <si>
    <t>31092.1Rep_v1_c8432_2021-05-10-10-08-26-074_input_bam.zip</t>
  </si>
  <si>
    <t>31092.2_v1_3278c64d-13a8-4b39-b0ec-415a15e568f9_input_bam.zip</t>
  </si>
  <si>
    <t>31092.3_v1_25b2c3da-2da7-4f33-8355-dcff0bf88669_input_bam.zip</t>
  </si>
  <si>
    <t>31092.4_v2_6cab88e6-f0ba-43fb-8584-a25443cfff0a_input_bam.zip</t>
  </si>
  <si>
    <t>31138.1_v2_c4139_2021-05-10-10-06-07-938_input_bam.zip</t>
  </si>
  <si>
    <t>31138.2_v1_2f866c40-c72d-4a42-a22e-48e13f76eece_input_bam.zip</t>
  </si>
  <si>
    <t>31138.3_v1_952f1039-5b38-47bf-a73c-5933ac4d8a6f_input_bam.zip</t>
  </si>
  <si>
    <t>31138.4_v3_c2977_2021-05-16-18-24-32-837_input_bam.zip</t>
  </si>
  <si>
    <t>31138.5_v3_c3257_2021-05-16-18-24-32-837_input_bam.zip</t>
  </si>
  <si>
    <t>31219.1_v1_c6769_2021-05-10-10-07-50-673_input_bam.zip</t>
  </si>
  <si>
    <t>31219.2_v1_c5534_2021-05-10-10-19-43-947_input_bam.zip</t>
  </si>
  <si>
    <t>31219.3_v1_c1554_2021-05-10-13-39-58-900_input_bam.zip</t>
  </si>
  <si>
    <t>31219.4_v3_c3201_2021-05-16-18-24-32-837_input_bam.zip</t>
  </si>
  <si>
    <t>31219.5_v2_c3145_2021-05-16-18-24-32-837_input_bam.zip</t>
  </si>
  <si>
    <t>31448.1_v1_c1169_2021-05-21-13-24-48-592_input_bam.zip</t>
  </si>
  <si>
    <t>31448.2S_v1_c6895_2021-05-21-13-44-12-273_input_bam.zip</t>
  </si>
  <si>
    <t>31448.3S_v1_c5170_2021-05-21-13-42-10-403_input_bam.zip</t>
  </si>
  <si>
    <t>31448.4_v1_c3369_2021-05-16-18-24-32-837_input_bam.zip</t>
  </si>
  <si>
    <t>31448.5S_v1_c3537_2021-05-16-18-24-32-837_input_bam.zip</t>
  </si>
  <si>
    <t>31538.1_v1_095c42fa-491c-4c0e-b5ec-236cc126b3e9_input_bam.zip</t>
  </si>
  <si>
    <t>31538.2_v1_04074a01-5c08-45e1-9ad2-282fe4f719d1_input_bam.zip</t>
  </si>
  <si>
    <t>31538.3_v1_942fb05a-1a70-43d5-9752-673d6bae1ad8_input_bam.zip</t>
  </si>
  <si>
    <t>31538.4-ok_c5386_2021-06-03-17-13-55-258_input_bam.zip</t>
  </si>
  <si>
    <t>31538.5-ok_c6371_2021-06-03-17-14-33-561_input_bam.zip</t>
  </si>
  <si>
    <t>31539.1_v1_0d31b610-96cb-4d21-adf6-173aab1295b2_input_bam.zip</t>
  </si>
  <si>
    <t>31539.2_v1_c4688915-1f4d-4f95-8041-b691f04ce147_input_bam.zip</t>
  </si>
  <si>
    <t>31539.3_v1_7348fc68-6dd3-40e1-8b32-b9a1619cbd58_input_bam.zip</t>
  </si>
  <si>
    <t>31539_4_v1_7c5e96f0-1f72-4649-8993-d46a80c7f8b1_input_bam.zip</t>
  </si>
  <si>
    <t>31539_5-16S_v1_c3926_2021-06-07-16-03-48-471_input_bam.zip</t>
  </si>
  <si>
    <t>31540.1_v1_3c19af14-471a-4227-b4c7-f0078d7a1ab6_input_bam.zip</t>
  </si>
  <si>
    <t>31540.2_v1_ce0b65e5-4ff4-4074-8e93-1c545af7328f_input_bam.zip</t>
  </si>
  <si>
    <t>31540.3_v1_35e2f82e-217b-4791-a7ff-05c4e6a58f32_input_bam.zip</t>
  </si>
  <si>
    <t>31540.4_v2_ff63ff7a-2c18-4959-a12f-e61fcd49108c_input_bam.zip</t>
  </si>
  <si>
    <t>31540.5_v2_34766bd6-fa1c-40e5-a74d-5213d2520b40_input_bam.zip</t>
  </si>
  <si>
    <t>31627_1_v1_c1082_2021-06-01-09-46-50-466_input_bam.zip</t>
  </si>
  <si>
    <t>31627_2_v1_c2357_2021-06-01-09-47-31-895_input_bam.zip</t>
  </si>
  <si>
    <t>31627_3_v1_c3632_2021-06-01-09-49-44-510_input_bam.zip</t>
  </si>
  <si>
    <t>31627_4-16S_v2_c3474_2021-06-07-17-50-55-231_input_bam.zip</t>
  </si>
  <si>
    <t>31627_5-SP_v1_8975f527-9641-458b-8bf5-11281bbcf13d_input_bam.zip</t>
  </si>
  <si>
    <t>31648_1_v1_c8732_2021-06-01-09-52-21-912_input_bam.zip</t>
  </si>
  <si>
    <t>31648_2_v1_c10007_2021-06-01-09-52-51-289_input_bam.zip</t>
  </si>
  <si>
    <t>31648_3_v1_c11282_2021-06-01-09-53-17-953_input_bam.zip</t>
  </si>
  <si>
    <t>31648_4-SP_v1_63a9429e-b227-4dd0-81a5-364e28d21a5e_input_bam.zip</t>
  </si>
  <si>
    <t>31648_5-SP_v1_2e90435a-c8cf-43e3-8703-c5ce8951f686_input_bam.zip</t>
  </si>
  <si>
    <t>31649_1_v1_c12539_2021-06-01-09-53-53-136_input_bam.zip</t>
  </si>
  <si>
    <t>31649_2_v1_c13814_2021-06-01-09-54-38-317_input_bam.zip</t>
  </si>
  <si>
    <t>31649_3_v1_c921_2021-06-01-16-08-02-119_input_bam.zip</t>
  </si>
  <si>
    <t>31649_4-SP_v1_5472f800-b65e-42a3-b70b-d4c559ca7a88_input_bam.zip</t>
  </si>
  <si>
    <t>31649_5-SP_v1_e8474bf8-6ac6-4c0d-a140-6adeec82fc22_input_bam.zip</t>
  </si>
  <si>
    <t>31771_1_v1_c2196_2021-06-01-16-08-42-699_input_bam.zip</t>
  </si>
  <si>
    <t>31771_2_v1_c499_2021-06-01-17-50-53-306_input_bam.zip</t>
  </si>
  <si>
    <t>31771_3_v1_c1774_2021-06-01-17-51-46-282_input_bam.zip</t>
  </si>
  <si>
    <t>31771_4-16S_v2_c6740_2021-06-07-16-05-55-052_input_bam.zip</t>
  </si>
  <si>
    <t>31771_5-SP_v1_dda4964e-6f88-4785-8d1f-2a4fdc50d8c2_input_bam.zip</t>
  </si>
  <si>
    <t>31978_1-16S_v1_29c676f4-64c1-4118-be7b-aab76ec8234e_input_bam.zip</t>
  </si>
  <si>
    <t>31978_2-16S_v1_25182fcc-fbba-46be-81d6-c485cfe18108_input_bam.zip</t>
  </si>
  <si>
    <t>31978_3-16S_v1_639fd721-4dd8-4451-849f-285271dc18d2_input_bam.zip</t>
  </si>
  <si>
    <t>31978_4_v1_2917bbfc-54b8-4b06-b15d-55af7c320524_input_bam.zip</t>
  </si>
  <si>
    <t>31978_5-TS_v1_c86b3ccf-04bb-4a23-bb5e-4bdda3e95d46_input_bam.zip</t>
  </si>
  <si>
    <t>32013_1-16S_v2_ed2f7a9d-ea5c-4ca6-ad01-c087317800b9_input_bam.zip</t>
  </si>
  <si>
    <t>32013_2-16S_v1_d002a334-d446-4484-aed8-ddc10afa0c41_input_bam.zip</t>
  </si>
  <si>
    <t>32013_3-16S_v1_ad1b0e54-0fe1-4621-ac18-2e73674e1887_input_bam.zip</t>
  </si>
  <si>
    <t>32013_4_v1_92cb06a4-8132-4f67-8c62-2783607fce5a_input_bam.zip</t>
  </si>
  <si>
    <t>32013_5_v1_ffd6910a-b567-4166-9ab2-5c805c23b33f_input_bam.zip</t>
  </si>
  <si>
    <t>32551.1-16S_v1_ef12839f-5fa7-44c1-a049-a91efb780346_input_bam.zip</t>
  </si>
  <si>
    <t>32551.2-16S_v1_33550b07-1a9c-4050-ac42-3355009c5022_input_bam.zip</t>
  </si>
  <si>
    <t>32551.3-16S_v1_c708b882-b8f6-4d4a-aa34-532fcd0f843f_input_bam.zip</t>
  </si>
  <si>
    <t>32551.4_v2_c4ff756b-350d-40f4-b509-12f58ca8c81a_input_bam.zip</t>
  </si>
  <si>
    <t>32551.5_v2_beedbbe7-cb19-4baf-b78b-606c5c0db58a_input_bam.zip</t>
  </si>
  <si>
    <t>32598.1-16S_v1_6fbbb6de-672e-4134-8a2d-ca9be3fd733a_input_bam.zip</t>
  </si>
  <si>
    <t>32598.2-16S_v1_b9c7a9f9-a8d1-458c-9a32-472fa4189480_input_bam.zip</t>
  </si>
  <si>
    <t>32598.3-16S_v1_30ecccbb-17a8-439f-b801-44095f368384_input_bam.zip</t>
  </si>
  <si>
    <t>32598.4_v2_aaa90169-392f-4211-b10b-665ba0bf1526_input_bam.zip</t>
  </si>
  <si>
    <t>32598.5_v2_0c136741-4fad-4828-a8b4-9bfcf2a66d79_input_bam.zip</t>
  </si>
  <si>
    <t>32600.1-16S_v1_ddb82e60-ad51-41a4-ba5e-948d6de79d99_input_bam.zip</t>
  </si>
  <si>
    <t>32600.2-16S_v1_8f8dfc1d-a7a3-45f0-8808-12af6fe29248_input_bam.zip</t>
  </si>
  <si>
    <t>32600.3-16S_v1_bfdd37e0-58f9-4320-9fe0-814ca09e1bcb_input_bam.zip</t>
  </si>
  <si>
    <t>32600.4_v2_e8b4ae9f-8fd0-4a14-8c8f-8163e3a9e1bb_input_bam.zip</t>
  </si>
  <si>
    <t>32600.5_v2_4297baad-f00b-4fbc-b023-3ac3f1da8602_input_bam.zip</t>
  </si>
  <si>
    <t>32678.1-16S_v1_28674930-fdad-4c5d-a8f8-97478910f165_input_bam.zip</t>
  </si>
  <si>
    <t>32678.2-16S_v1_55e168ae-2c32-44a2-be2f-6229358e37a3_input_bam.zip</t>
  </si>
  <si>
    <t>32678.3-16S_v1_b6fb7dfa-e99c-4d51-a478-b5dc23c0737f_input_bam.zip</t>
  </si>
  <si>
    <t>32678.4_v1_f51bb710-a69b-4024-90fa-7f941565554a_input_bam.zip</t>
  </si>
  <si>
    <t>32678.5_v2_74d3255a-e74c-48b4-98fa-160c85d34d2a_input_bam.zip</t>
  </si>
  <si>
    <t>32796.1-16S_v1_6ae88579-0bc9-4d5d-b4db-8a08a4637762_input_bam.zip</t>
  </si>
  <si>
    <t>32796.2-16S_v1_51dd9d49-7f43-42b4-9be3-a862e8b33d23_input_bam.zip</t>
  </si>
  <si>
    <t>32796.3-16S_v1_ba166c58-5b0f-4f27-ae47-adc1513554c2_input_bam.zip</t>
  </si>
  <si>
    <t>32796.4_v1_33c382d9-8cc5-43c9-bc95-f16860baff64_input_bam.zip</t>
  </si>
  <si>
    <t>32796.5_v1_2bd6a056-54ee-452d-abcd-d3239925533d_input_bam.zip</t>
  </si>
  <si>
    <t>32869.1_v1_27ad6912-45d3-453f-a5ec-a4cdb8e06d80_input_bam.zip</t>
  </si>
  <si>
    <t>32869.2_v1_6a1b6940-beee-423e-8630-741a2ee2c4a9_input_bam.zip</t>
  </si>
  <si>
    <t>32869.3_v1_e0ee2747-d0b1-477e-8499-096426e1f205_input_bam.zip</t>
  </si>
  <si>
    <t>32869.4_v1_9ccb00f9-0b48-4879-bb6b-e3a6a4467d9d_input_bam.zip</t>
  </si>
  <si>
    <t>32869.5_v1_875f0bfb-912a-4337-8dc3-ce7d70582cbc_input_bam.zip</t>
  </si>
  <si>
    <t>32916.1_v2_e4d64562-a4b3-4b9f-8c8e-38fdf74fe676_input_bam.zip</t>
  </si>
  <si>
    <t>32916.2_v2_2b9a8e15-011f-4c81-973c-b3edd61f1b18_input_bam.zip</t>
  </si>
  <si>
    <t>32916.3_v1_6e6b4322-c2dd-4049-858a-64ad399bbbc7_input_bam.zip</t>
  </si>
  <si>
    <t>32916.4_v1_65338aa1-dece-4afa-ba57-f223ed39d46a_input_bam.zip</t>
  </si>
  <si>
    <t>32916.5_v1_88257eb9-ca5e-4525-9c24-3d78b5237191_input_bam.zip</t>
  </si>
  <si>
    <t>33552.1_v2_06156bb6-64eb-43bb-87ab-724f92f0a14b_input_bam.zip</t>
  </si>
  <si>
    <t>33552.2_v2_05480ec0-6551-454d-aefa-eae7aabf95c9_input_bam.zip</t>
  </si>
  <si>
    <t>33552.3_v2_eaa88f42-6e6c-41ab-b929-2ed9c0d44e6e_input_bam.zip</t>
  </si>
  <si>
    <t>33552.4_v1_21e5f30a-c02a-453c-9ba3-e9dedaf49838_input_bam.zip</t>
  </si>
  <si>
    <t>33552.5_v1_70c87a58-ccb4-4716-bef3-459bea35c51a_input_bam.zip</t>
  </si>
  <si>
    <t>31092.5_v3_c3033_2021-05-16-18-24-32-837_input_bam.zip</t>
  </si>
  <si>
    <t>Sample_Type_Code</t>
  </si>
  <si>
    <t>EN</t>
  </si>
  <si>
    <t>EF</t>
  </si>
  <si>
    <t>VA</t>
  </si>
  <si>
    <t>OR</t>
  </si>
  <si>
    <t>FE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</si>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</sst>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indexed="8"/>
      <name val="Helvetica Neue"/>
    </font>
    <font>
      <b/>
      <sz val="10"/>
      <color indexed="8"/>
      <name val="Helvetica Neue"/>
      <scheme val="minor"/>
    </font>
    <font>
      <sz val="10"/>
      <color indexed="8"/>
      <name val="Helvetica Neue"/>
      <scheme val="minor"/>
    </font>
    <font>
      <b/>
      <sz val="10"/>
      <color rgb="FF000000"/>
      <name val="Helvetica Neue"/>
      <scheme val="minor"/>
    </font>
    <font>
      <sz val="10"/>
      <color rgb="FF000000"/>
      <name val="Helvetica Neue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Fill="1" applyAlignment="1">
      <alignment vertical="top"/>
    </xf>
    <xf numFmtId="0" fontId="0" fillId="0" borderId="0" xfId="0" applyFont="1" applyFill="1" applyAlignment="1"/>
    <xf numFmtId="0" fontId="0" fillId="0" borderId="0" xfId="0" applyAlignment="1"/>
    <xf numFmtId="0" fontId="3" fillId="3" borderId="1" xfId="0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4" fillId="0" borderId="2" xfId="0" applyFont="1" applyFill="1" applyBorder="1" applyAlignment="1">
      <alignment vertical="top"/>
    </xf>
    <xf numFmtId="49" fontId="2" fillId="0" borderId="2" xfId="0" applyNumberFormat="1" applyFont="1" applyFill="1" applyBorder="1" applyAlignment="1">
      <alignment vertical="top"/>
    </xf>
    <xf numFmtId="0" fontId="2" fillId="0" borderId="2" xfId="0" applyNumberFormat="1" applyFont="1" applyFill="1" applyBorder="1" applyAlignment="1">
      <alignment vertical="top"/>
    </xf>
    <xf numFmtId="0" fontId="4" fillId="0" borderId="3" xfId="0" applyFont="1" applyFill="1" applyBorder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6"/>
  <sheetViews>
    <sheetView showGridLines="0" tabSelected="1" workbookViewId="0">
      <selection activeCell="A41" sqref="A41"/>
    </sheetView>
  </sheetViews>
  <sheetFormatPr baseColWidth="10" defaultColWidth="8.28515625" defaultRowHeight="20.100000000000001" customHeight="1"/>
  <cols>
    <col min="1" max="1" width="70.5703125" style="3" bestFit="1" customWidth="1"/>
    <col min="2" max="2" width="12" style="4"/>
    <col min="3" max="3" width="12.28515625" style="4" bestFit="1" customWidth="1"/>
    <col min="4" max="4" width="19.28515625" style="2" bestFit="1" customWidth="1"/>
    <col min="5" max="5" width="17.85546875" style="2" bestFit="1" customWidth="1"/>
    <col min="6" max="6" width="10.140625" style="2" bestFit="1" customWidth="1"/>
    <col min="7" max="7" width="46.42578125" style="1" bestFit="1" customWidth="1"/>
    <col min="8" max="8" width="25.28515625" style="1" bestFit="1" customWidth="1"/>
    <col min="9" max="9" width="4.5703125" style="2" bestFit="1" customWidth="1"/>
    <col min="10" max="10" width="20.7109375" style="1" bestFit="1" customWidth="1"/>
    <col min="11" max="12" width="14.42578125" style="1" bestFit="1" customWidth="1"/>
    <col min="13" max="13" width="7.42578125" style="1" bestFit="1" customWidth="1"/>
    <col min="14" max="14" width="12.140625" style="1" bestFit="1" customWidth="1"/>
    <col min="15" max="15" width="7.85546875" style="1" bestFit="1" customWidth="1"/>
    <col min="16" max="16" width="8.7109375" style="1" bestFit="1" customWidth="1"/>
    <col min="17" max="17" width="8.28515625" style="1" customWidth="1"/>
    <col min="18" max="16384" width="8.28515625" style="1"/>
  </cols>
  <sheetData>
    <row r="1" spans="1:16" ht="20.25" customHeight="1">
      <c r="A1" s="5" t="s">
        <v>54</v>
      </c>
      <c r="B1" s="5" t="s">
        <v>0</v>
      </c>
      <c r="C1" s="5" t="s">
        <v>166</v>
      </c>
      <c r="D1" s="6" t="s">
        <v>160</v>
      </c>
      <c r="E1" s="6" t="s">
        <v>31</v>
      </c>
      <c r="F1" s="6" t="s">
        <v>30</v>
      </c>
      <c r="G1" s="7" t="s">
        <v>24</v>
      </c>
      <c r="H1" s="7" t="s">
        <v>25</v>
      </c>
      <c r="I1" s="6" t="s">
        <v>4</v>
      </c>
      <c r="J1" s="7" t="s">
        <v>32</v>
      </c>
      <c r="K1" s="7" t="s">
        <v>26</v>
      </c>
      <c r="L1" s="7" t="s">
        <v>5</v>
      </c>
      <c r="M1" s="7" t="s">
        <v>6</v>
      </c>
      <c r="N1" s="7" t="s">
        <v>27</v>
      </c>
      <c r="O1" s="7" t="s">
        <v>7</v>
      </c>
      <c r="P1" s="7" t="s">
        <v>8</v>
      </c>
    </row>
    <row r="2" spans="1:16" s="2" customFormat="1" ht="20.25" customHeight="1">
      <c r="A2" s="11" t="s">
        <v>55</v>
      </c>
      <c r="B2" s="14" t="s">
        <v>48</v>
      </c>
      <c r="C2" s="14" t="str">
        <f>CONCATENATE(B2,".",D2)</f>
        <v>Subject4.EN</v>
      </c>
      <c r="D2" s="12" t="s">
        <v>161</v>
      </c>
      <c r="E2" s="12" t="s">
        <v>9</v>
      </c>
      <c r="F2" s="12" t="s">
        <v>1</v>
      </c>
      <c r="G2" s="12" t="s">
        <v>20</v>
      </c>
      <c r="H2" s="12" t="s">
        <v>28</v>
      </c>
      <c r="I2" s="13">
        <v>41</v>
      </c>
      <c r="J2" s="12" t="s">
        <v>12</v>
      </c>
      <c r="K2" s="12" t="s">
        <v>11</v>
      </c>
      <c r="L2" s="12" t="s">
        <v>11</v>
      </c>
      <c r="M2" s="12" t="s">
        <v>12</v>
      </c>
      <c r="N2" s="12" t="s">
        <v>12</v>
      </c>
      <c r="O2" s="12" t="s">
        <v>12</v>
      </c>
      <c r="P2" s="12" t="s">
        <v>12</v>
      </c>
    </row>
    <row r="3" spans="1:16" s="2" customFormat="1" ht="20.100000000000001" customHeight="1">
      <c r="A3" s="8" t="s">
        <v>56</v>
      </c>
      <c r="B3" s="15" t="s">
        <v>48</v>
      </c>
      <c r="C3" s="14" t="str">
        <f t="shared" ref="C3:C66" si="0">CONCATENATE(B3,".",D3)</f>
        <v>Subject4.EF</v>
      </c>
      <c r="D3" s="9" t="s">
        <v>162</v>
      </c>
      <c r="E3" s="9" t="s">
        <v>13</v>
      </c>
      <c r="F3" s="9" t="s">
        <v>1</v>
      </c>
      <c r="G3" s="9" t="s">
        <v>20</v>
      </c>
      <c r="H3" s="9" t="s">
        <v>28</v>
      </c>
      <c r="I3" s="10">
        <v>41</v>
      </c>
      <c r="J3" s="9" t="s">
        <v>12</v>
      </c>
      <c r="K3" s="9" t="s">
        <v>11</v>
      </c>
      <c r="L3" s="9" t="s">
        <v>11</v>
      </c>
      <c r="M3" s="9" t="s">
        <v>12</v>
      </c>
      <c r="N3" s="9" t="s">
        <v>12</v>
      </c>
      <c r="O3" s="9" t="s">
        <v>12</v>
      </c>
      <c r="P3" s="9" t="s">
        <v>12</v>
      </c>
    </row>
    <row r="4" spans="1:16" s="2" customFormat="1" ht="20.100000000000001" customHeight="1">
      <c r="A4" s="8" t="s">
        <v>57</v>
      </c>
      <c r="B4" s="15" t="s">
        <v>48</v>
      </c>
      <c r="C4" s="14" t="str">
        <f t="shared" si="0"/>
        <v>Subject4.VA</v>
      </c>
      <c r="D4" s="9" t="s">
        <v>163</v>
      </c>
      <c r="E4" s="9" t="s">
        <v>14</v>
      </c>
      <c r="F4" s="9" t="s">
        <v>1</v>
      </c>
      <c r="G4" s="9" t="s">
        <v>20</v>
      </c>
      <c r="H4" s="9" t="s">
        <v>28</v>
      </c>
      <c r="I4" s="10">
        <v>41</v>
      </c>
      <c r="J4" s="9" t="s">
        <v>12</v>
      </c>
      <c r="K4" s="9" t="s">
        <v>11</v>
      </c>
      <c r="L4" s="9" t="s">
        <v>11</v>
      </c>
      <c r="M4" s="9" t="s">
        <v>12</v>
      </c>
      <c r="N4" s="9" t="s">
        <v>12</v>
      </c>
      <c r="O4" s="9" t="s">
        <v>12</v>
      </c>
      <c r="P4" s="9" t="s">
        <v>12</v>
      </c>
    </row>
    <row r="5" spans="1:16" s="2" customFormat="1" ht="20.100000000000001" customHeight="1">
      <c r="A5" s="8" t="s">
        <v>58</v>
      </c>
      <c r="B5" s="15" t="s">
        <v>48</v>
      </c>
      <c r="C5" s="14" t="str">
        <f t="shared" si="0"/>
        <v>Subject4.OR</v>
      </c>
      <c r="D5" s="9" t="s">
        <v>164</v>
      </c>
      <c r="E5" s="9" t="s">
        <v>17</v>
      </c>
      <c r="F5" s="9" t="s">
        <v>2</v>
      </c>
      <c r="G5" s="9" t="s">
        <v>20</v>
      </c>
      <c r="H5" s="9" t="s">
        <v>28</v>
      </c>
      <c r="I5" s="10">
        <v>41</v>
      </c>
      <c r="J5" s="9" t="s">
        <v>12</v>
      </c>
      <c r="K5" s="9" t="s">
        <v>11</v>
      </c>
      <c r="L5" s="9" t="s">
        <v>11</v>
      </c>
      <c r="M5" s="9" t="s">
        <v>12</v>
      </c>
      <c r="N5" s="9" t="s">
        <v>12</v>
      </c>
      <c r="O5" s="9" t="s">
        <v>12</v>
      </c>
      <c r="P5" s="9" t="s">
        <v>12</v>
      </c>
    </row>
    <row r="6" spans="1:16" s="2" customFormat="1" ht="20.100000000000001" customHeight="1">
      <c r="A6" s="8" t="s">
        <v>159</v>
      </c>
      <c r="B6" s="15" t="s">
        <v>48</v>
      </c>
      <c r="C6" s="14" t="str">
        <f t="shared" si="0"/>
        <v>Subject4.FE</v>
      </c>
      <c r="D6" s="9" t="s">
        <v>165</v>
      </c>
      <c r="E6" s="9" t="s">
        <v>15</v>
      </c>
      <c r="F6" s="9" t="s">
        <v>2</v>
      </c>
      <c r="G6" s="9" t="s">
        <v>20</v>
      </c>
      <c r="H6" s="9" t="s">
        <v>28</v>
      </c>
      <c r="I6" s="10">
        <v>41</v>
      </c>
      <c r="J6" s="9" t="s">
        <v>12</v>
      </c>
      <c r="K6" s="9" t="s">
        <v>11</v>
      </c>
      <c r="L6" s="9" t="s">
        <v>11</v>
      </c>
      <c r="M6" s="9" t="s">
        <v>12</v>
      </c>
      <c r="N6" s="9" t="s">
        <v>12</v>
      </c>
      <c r="O6" s="9" t="s">
        <v>12</v>
      </c>
      <c r="P6" s="9" t="s">
        <v>12</v>
      </c>
    </row>
    <row r="7" spans="1:16" s="2" customFormat="1" ht="20.100000000000001" customHeight="1">
      <c r="A7" s="8" t="s">
        <v>59</v>
      </c>
      <c r="B7" s="15" t="s">
        <v>36</v>
      </c>
      <c r="C7" s="14" t="str">
        <f t="shared" si="0"/>
        <v>Subject12.EN</v>
      </c>
      <c r="D7" s="9" t="s">
        <v>161</v>
      </c>
      <c r="E7" s="9" t="s">
        <v>9</v>
      </c>
      <c r="F7" s="9" t="s">
        <v>1</v>
      </c>
      <c r="G7" s="9" t="s">
        <v>3</v>
      </c>
      <c r="H7" s="9" t="s">
        <v>3</v>
      </c>
      <c r="I7" s="10">
        <v>33</v>
      </c>
      <c r="J7" s="9" t="s">
        <v>11</v>
      </c>
      <c r="K7" s="9" t="s">
        <v>12</v>
      </c>
      <c r="L7" s="9" t="s">
        <v>19</v>
      </c>
      <c r="M7" s="9" t="s">
        <v>11</v>
      </c>
      <c r="N7" s="9" t="s">
        <v>12</v>
      </c>
      <c r="O7" s="9" t="s">
        <v>11</v>
      </c>
      <c r="P7" s="9" t="s">
        <v>11</v>
      </c>
    </row>
    <row r="8" spans="1:16" s="2" customFormat="1" ht="20.100000000000001" customHeight="1">
      <c r="A8" s="8" t="s">
        <v>60</v>
      </c>
      <c r="B8" s="15" t="s">
        <v>36</v>
      </c>
      <c r="C8" s="14" t="str">
        <f t="shared" si="0"/>
        <v>Subject12.EF</v>
      </c>
      <c r="D8" s="9" t="s">
        <v>162</v>
      </c>
      <c r="E8" s="9" t="s">
        <v>13</v>
      </c>
      <c r="F8" s="9" t="s">
        <v>1</v>
      </c>
      <c r="G8" s="9" t="s">
        <v>3</v>
      </c>
      <c r="H8" s="9" t="s">
        <v>3</v>
      </c>
      <c r="I8" s="10">
        <v>33</v>
      </c>
      <c r="J8" s="9" t="s">
        <v>11</v>
      </c>
      <c r="K8" s="9" t="s">
        <v>12</v>
      </c>
      <c r="L8" s="9" t="s">
        <v>19</v>
      </c>
      <c r="M8" s="9" t="s">
        <v>11</v>
      </c>
      <c r="N8" s="9" t="s">
        <v>12</v>
      </c>
      <c r="O8" s="9" t="s">
        <v>11</v>
      </c>
      <c r="P8" s="9" t="s">
        <v>11</v>
      </c>
    </row>
    <row r="9" spans="1:16" s="2" customFormat="1" ht="20.100000000000001" customHeight="1">
      <c r="A9" s="8" t="s">
        <v>61</v>
      </c>
      <c r="B9" s="15" t="s">
        <v>36</v>
      </c>
      <c r="C9" s="14" t="str">
        <f t="shared" si="0"/>
        <v>Subject12.VA</v>
      </c>
      <c r="D9" s="9" t="s">
        <v>163</v>
      </c>
      <c r="E9" s="9" t="s">
        <v>14</v>
      </c>
      <c r="F9" s="9" t="s">
        <v>1</v>
      </c>
      <c r="G9" s="9" t="s">
        <v>3</v>
      </c>
      <c r="H9" s="9" t="s">
        <v>3</v>
      </c>
      <c r="I9" s="10">
        <v>33</v>
      </c>
      <c r="J9" s="9" t="s">
        <v>11</v>
      </c>
      <c r="K9" s="9" t="s">
        <v>12</v>
      </c>
      <c r="L9" s="9" t="s">
        <v>19</v>
      </c>
      <c r="M9" s="9" t="s">
        <v>11</v>
      </c>
      <c r="N9" s="9" t="s">
        <v>12</v>
      </c>
      <c r="O9" s="9" t="s">
        <v>11</v>
      </c>
      <c r="P9" s="9" t="s">
        <v>11</v>
      </c>
    </row>
    <row r="10" spans="1:16" s="2" customFormat="1" ht="20.100000000000001" customHeight="1">
      <c r="A10" s="8" t="s">
        <v>62</v>
      </c>
      <c r="B10" s="15" t="s">
        <v>36</v>
      </c>
      <c r="C10" s="14" t="str">
        <f t="shared" si="0"/>
        <v>Subject12.OR</v>
      </c>
      <c r="D10" s="9" t="s">
        <v>164</v>
      </c>
      <c r="E10" s="9" t="s">
        <v>17</v>
      </c>
      <c r="F10" s="9" t="s">
        <v>2</v>
      </c>
      <c r="G10" s="9" t="s">
        <v>3</v>
      </c>
      <c r="H10" s="9" t="s">
        <v>3</v>
      </c>
      <c r="I10" s="10">
        <v>33</v>
      </c>
      <c r="J10" s="9" t="s">
        <v>11</v>
      </c>
      <c r="K10" s="9" t="s">
        <v>12</v>
      </c>
      <c r="L10" s="9" t="s">
        <v>19</v>
      </c>
      <c r="M10" s="9" t="s">
        <v>11</v>
      </c>
      <c r="N10" s="9" t="s">
        <v>12</v>
      </c>
      <c r="O10" s="9" t="s">
        <v>11</v>
      </c>
      <c r="P10" s="9" t="s">
        <v>11</v>
      </c>
    </row>
    <row r="11" spans="1:16" s="2" customFormat="1" ht="20.100000000000001" customHeight="1">
      <c r="A11" s="8" t="s">
        <v>63</v>
      </c>
      <c r="B11" s="15" t="s">
        <v>36</v>
      </c>
      <c r="C11" s="14" t="str">
        <f t="shared" si="0"/>
        <v>Subject12.FE</v>
      </c>
      <c r="D11" s="9" t="s">
        <v>165</v>
      </c>
      <c r="E11" s="9" t="s">
        <v>15</v>
      </c>
      <c r="F11" s="9" t="s">
        <v>2</v>
      </c>
      <c r="G11" s="9" t="s">
        <v>3</v>
      </c>
      <c r="H11" s="9" t="s">
        <v>3</v>
      </c>
      <c r="I11" s="10">
        <v>33</v>
      </c>
      <c r="J11" s="9" t="s">
        <v>11</v>
      </c>
      <c r="K11" s="9" t="s">
        <v>12</v>
      </c>
      <c r="L11" s="9" t="s">
        <v>19</v>
      </c>
      <c r="M11" s="9" t="s">
        <v>11</v>
      </c>
      <c r="N11" s="9" t="s">
        <v>12</v>
      </c>
      <c r="O11" s="9" t="s">
        <v>11</v>
      </c>
      <c r="P11" s="9" t="s">
        <v>11</v>
      </c>
    </row>
    <row r="12" spans="1:16" s="2" customFormat="1" ht="20.100000000000001" customHeight="1">
      <c r="A12" s="8" t="s">
        <v>64</v>
      </c>
      <c r="B12" s="15" t="s">
        <v>35</v>
      </c>
      <c r="C12" s="14" t="str">
        <f t="shared" si="0"/>
        <v>Subject11.EN</v>
      </c>
      <c r="D12" s="9" t="s">
        <v>161</v>
      </c>
      <c r="E12" s="9" t="s">
        <v>9</v>
      </c>
      <c r="F12" s="9" t="s">
        <v>1</v>
      </c>
      <c r="G12" s="9" t="s">
        <v>18</v>
      </c>
      <c r="H12" s="9" t="s">
        <v>28</v>
      </c>
      <c r="I12" s="10">
        <v>40</v>
      </c>
      <c r="J12" s="9" t="s">
        <v>12</v>
      </c>
      <c r="K12" s="9" t="s">
        <v>12</v>
      </c>
      <c r="L12" s="9" t="s">
        <v>11</v>
      </c>
      <c r="M12" s="9" t="s">
        <v>11</v>
      </c>
      <c r="N12" s="9" t="s">
        <v>12</v>
      </c>
      <c r="O12" s="9" t="s">
        <v>12</v>
      </c>
      <c r="P12" s="9" t="s">
        <v>12</v>
      </c>
    </row>
    <row r="13" spans="1:16" s="2" customFormat="1" ht="20.100000000000001" customHeight="1">
      <c r="A13" s="8" t="s">
        <v>65</v>
      </c>
      <c r="B13" s="15" t="s">
        <v>35</v>
      </c>
      <c r="C13" s="14" t="str">
        <f t="shared" si="0"/>
        <v>Subject11.EF</v>
      </c>
      <c r="D13" s="9" t="s">
        <v>162</v>
      </c>
      <c r="E13" s="9" t="s">
        <v>13</v>
      </c>
      <c r="F13" s="9" t="s">
        <v>1</v>
      </c>
      <c r="G13" s="9" t="s">
        <v>18</v>
      </c>
      <c r="H13" s="9" t="s">
        <v>28</v>
      </c>
      <c r="I13" s="10">
        <v>40</v>
      </c>
      <c r="J13" s="9" t="s">
        <v>12</v>
      </c>
      <c r="K13" s="9" t="s">
        <v>12</v>
      </c>
      <c r="L13" s="9" t="s">
        <v>11</v>
      </c>
      <c r="M13" s="9" t="s">
        <v>11</v>
      </c>
      <c r="N13" s="9" t="s">
        <v>12</v>
      </c>
      <c r="O13" s="9" t="s">
        <v>12</v>
      </c>
      <c r="P13" s="9" t="s">
        <v>12</v>
      </c>
    </row>
    <row r="14" spans="1:16" s="2" customFormat="1" ht="20.100000000000001" customHeight="1">
      <c r="A14" s="8" t="s">
        <v>66</v>
      </c>
      <c r="B14" s="15" t="s">
        <v>35</v>
      </c>
      <c r="C14" s="14" t="str">
        <f t="shared" si="0"/>
        <v>Subject11.VA</v>
      </c>
      <c r="D14" s="9" t="s">
        <v>163</v>
      </c>
      <c r="E14" s="9" t="s">
        <v>14</v>
      </c>
      <c r="F14" s="9" t="s">
        <v>1</v>
      </c>
      <c r="G14" s="9" t="s">
        <v>18</v>
      </c>
      <c r="H14" s="9" t="s">
        <v>28</v>
      </c>
      <c r="I14" s="10">
        <v>40</v>
      </c>
      <c r="J14" s="9" t="s">
        <v>12</v>
      </c>
      <c r="K14" s="9" t="s">
        <v>12</v>
      </c>
      <c r="L14" s="9" t="s">
        <v>11</v>
      </c>
      <c r="M14" s="9" t="s">
        <v>11</v>
      </c>
      <c r="N14" s="9" t="s">
        <v>12</v>
      </c>
      <c r="O14" s="9" t="s">
        <v>12</v>
      </c>
      <c r="P14" s="9" t="s">
        <v>12</v>
      </c>
    </row>
    <row r="15" spans="1:16" s="2" customFormat="1" ht="20.100000000000001" customHeight="1">
      <c r="A15" s="8" t="s">
        <v>67</v>
      </c>
      <c r="B15" s="15" t="s">
        <v>35</v>
      </c>
      <c r="C15" s="14" t="str">
        <f t="shared" si="0"/>
        <v>Subject11.OR</v>
      </c>
      <c r="D15" s="9" t="s">
        <v>164</v>
      </c>
      <c r="E15" s="9" t="s">
        <v>17</v>
      </c>
      <c r="F15" s="9" t="s">
        <v>2</v>
      </c>
      <c r="G15" s="9" t="s">
        <v>18</v>
      </c>
      <c r="H15" s="9" t="s">
        <v>28</v>
      </c>
      <c r="I15" s="10">
        <v>40</v>
      </c>
      <c r="J15" s="9" t="s">
        <v>12</v>
      </c>
      <c r="K15" s="9" t="s">
        <v>12</v>
      </c>
      <c r="L15" s="9" t="s">
        <v>11</v>
      </c>
      <c r="M15" s="9" t="s">
        <v>11</v>
      </c>
      <c r="N15" s="9" t="s">
        <v>12</v>
      </c>
      <c r="O15" s="9" t="s">
        <v>12</v>
      </c>
      <c r="P15" s="9" t="s">
        <v>12</v>
      </c>
    </row>
    <row r="16" spans="1:16" s="2" customFormat="1" ht="20.100000000000001" customHeight="1">
      <c r="A16" s="8" t="s">
        <v>68</v>
      </c>
      <c r="B16" s="15" t="s">
        <v>35</v>
      </c>
      <c r="C16" s="14" t="str">
        <f t="shared" si="0"/>
        <v>Subject11.FE</v>
      </c>
      <c r="D16" s="9" t="s">
        <v>165</v>
      </c>
      <c r="E16" s="9" t="s">
        <v>15</v>
      </c>
      <c r="F16" s="9" t="s">
        <v>2</v>
      </c>
      <c r="G16" s="9" t="s">
        <v>18</v>
      </c>
      <c r="H16" s="9" t="s">
        <v>28</v>
      </c>
      <c r="I16" s="10">
        <v>40</v>
      </c>
      <c r="J16" s="9" t="s">
        <v>12</v>
      </c>
      <c r="K16" s="9" t="s">
        <v>12</v>
      </c>
      <c r="L16" s="9" t="s">
        <v>11</v>
      </c>
      <c r="M16" s="9" t="s">
        <v>11</v>
      </c>
      <c r="N16" s="9" t="s">
        <v>12</v>
      </c>
      <c r="O16" s="9" t="s">
        <v>12</v>
      </c>
      <c r="P16" s="9" t="s">
        <v>12</v>
      </c>
    </row>
    <row r="17" spans="1:16" s="2" customFormat="1" ht="20.100000000000001" customHeight="1">
      <c r="A17" s="8" t="s">
        <v>69</v>
      </c>
      <c r="B17" s="15" t="s">
        <v>50</v>
      </c>
      <c r="C17" s="14" t="str">
        <f t="shared" si="0"/>
        <v>Subject6.EN</v>
      </c>
      <c r="D17" s="9" t="s">
        <v>161</v>
      </c>
      <c r="E17" s="9" t="s">
        <v>9</v>
      </c>
      <c r="F17" s="9" t="s">
        <v>1</v>
      </c>
      <c r="G17" s="9" t="s">
        <v>3</v>
      </c>
      <c r="H17" s="9" t="s">
        <v>3</v>
      </c>
      <c r="I17" s="10">
        <v>41</v>
      </c>
      <c r="J17" s="9" t="s">
        <v>12</v>
      </c>
      <c r="K17" s="9" t="s">
        <v>11</v>
      </c>
      <c r="L17" s="9" t="s">
        <v>11</v>
      </c>
      <c r="M17" s="9" t="s">
        <v>12</v>
      </c>
      <c r="N17" s="9" t="s">
        <v>12</v>
      </c>
      <c r="O17" s="9" t="s">
        <v>12</v>
      </c>
      <c r="P17" s="9" t="s">
        <v>12</v>
      </c>
    </row>
    <row r="18" spans="1:16" s="2" customFormat="1" ht="20.100000000000001" customHeight="1">
      <c r="A18" s="8" t="s">
        <v>70</v>
      </c>
      <c r="B18" s="15" t="s">
        <v>50</v>
      </c>
      <c r="C18" s="14" t="str">
        <f t="shared" si="0"/>
        <v>Subject6.EF</v>
      </c>
      <c r="D18" s="9" t="s">
        <v>162</v>
      </c>
      <c r="E18" s="9" t="s">
        <v>13</v>
      </c>
      <c r="F18" s="9" t="s">
        <v>1</v>
      </c>
      <c r="G18" s="9" t="s">
        <v>3</v>
      </c>
      <c r="H18" s="9" t="s">
        <v>3</v>
      </c>
      <c r="I18" s="10">
        <v>41</v>
      </c>
      <c r="J18" s="9" t="s">
        <v>12</v>
      </c>
      <c r="K18" s="9" t="s">
        <v>11</v>
      </c>
      <c r="L18" s="9" t="s">
        <v>11</v>
      </c>
      <c r="M18" s="9" t="s">
        <v>12</v>
      </c>
      <c r="N18" s="9" t="s">
        <v>12</v>
      </c>
      <c r="O18" s="9" t="s">
        <v>12</v>
      </c>
      <c r="P18" s="9" t="s">
        <v>12</v>
      </c>
    </row>
    <row r="19" spans="1:16" s="2" customFormat="1" ht="20.100000000000001" customHeight="1">
      <c r="A19" s="8" t="s">
        <v>71</v>
      </c>
      <c r="B19" s="15" t="s">
        <v>50</v>
      </c>
      <c r="C19" s="14" t="str">
        <f t="shared" si="0"/>
        <v>Subject6.VA</v>
      </c>
      <c r="D19" s="9" t="s">
        <v>163</v>
      </c>
      <c r="E19" s="9" t="s">
        <v>14</v>
      </c>
      <c r="F19" s="9" t="s">
        <v>1</v>
      </c>
      <c r="G19" s="9" t="s">
        <v>3</v>
      </c>
      <c r="H19" s="9" t="s">
        <v>3</v>
      </c>
      <c r="I19" s="10">
        <v>41</v>
      </c>
      <c r="J19" s="9" t="s">
        <v>12</v>
      </c>
      <c r="K19" s="9" t="s">
        <v>11</v>
      </c>
      <c r="L19" s="9" t="s">
        <v>11</v>
      </c>
      <c r="M19" s="9" t="s">
        <v>12</v>
      </c>
      <c r="N19" s="9" t="s">
        <v>12</v>
      </c>
      <c r="O19" s="9" t="s">
        <v>12</v>
      </c>
      <c r="P19" s="9" t="s">
        <v>12</v>
      </c>
    </row>
    <row r="20" spans="1:16" s="2" customFormat="1" ht="20.100000000000001" customHeight="1">
      <c r="A20" s="8" t="s">
        <v>72</v>
      </c>
      <c r="B20" s="15" t="s">
        <v>50</v>
      </c>
      <c r="C20" s="14" t="str">
        <f t="shared" si="0"/>
        <v>Subject6.OR</v>
      </c>
      <c r="D20" s="9" t="s">
        <v>164</v>
      </c>
      <c r="E20" s="9" t="s">
        <v>17</v>
      </c>
      <c r="F20" s="9" t="s">
        <v>2</v>
      </c>
      <c r="G20" s="9" t="s">
        <v>3</v>
      </c>
      <c r="H20" s="9" t="s">
        <v>3</v>
      </c>
      <c r="I20" s="10">
        <v>41</v>
      </c>
      <c r="J20" s="9" t="s">
        <v>12</v>
      </c>
      <c r="K20" s="9" t="s">
        <v>11</v>
      </c>
      <c r="L20" s="9" t="s">
        <v>11</v>
      </c>
      <c r="M20" s="9" t="s">
        <v>12</v>
      </c>
      <c r="N20" s="9" t="s">
        <v>12</v>
      </c>
      <c r="O20" s="9" t="s">
        <v>12</v>
      </c>
      <c r="P20" s="9" t="s">
        <v>12</v>
      </c>
    </row>
    <row r="21" spans="1:16" s="2" customFormat="1" ht="20.100000000000001" customHeight="1">
      <c r="A21" s="8" t="s">
        <v>73</v>
      </c>
      <c r="B21" s="15" t="s">
        <v>50</v>
      </c>
      <c r="C21" s="14" t="str">
        <f t="shared" si="0"/>
        <v>Subject6.FE</v>
      </c>
      <c r="D21" s="9" t="s">
        <v>165</v>
      </c>
      <c r="E21" s="9" t="s">
        <v>15</v>
      </c>
      <c r="F21" s="9" t="s">
        <v>2</v>
      </c>
      <c r="G21" s="9" t="s">
        <v>3</v>
      </c>
      <c r="H21" s="9" t="s">
        <v>3</v>
      </c>
      <c r="I21" s="10">
        <v>41</v>
      </c>
      <c r="J21" s="9" t="s">
        <v>12</v>
      </c>
      <c r="K21" s="9" t="s">
        <v>11</v>
      </c>
      <c r="L21" s="9" t="s">
        <v>11</v>
      </c>
      <c r="M21" s="9" t="s">
        <v>12</v>
      </c>
      <c r="N21" s="9" t="s">
        <v>12</v>
      </c>
      <c r="O21" s="9" t="s">
        <v>12</v>
      </c>
      <c r="P21" s="9" t="s">
        <v>12</v>
      </c>
    </row>
    <row r="22" spans="1:16" s="2" customFormat="1" ht="20.100000000000001" customHeight="1">
      <c r="A22" s="8" t="s">
        <v>74</v>
      </c>
      <c r="B22" s="15" t="s">
        <v>46</v>
      </c>
      <c r="C22" s="14" t="str">
        <f t="shared" si="0"/>
        <v>Subject21.EN</v>
      </c>
      <c r="D22" s="9" t="s">
        <v>161</v>
      </c>
      <c r="E22" s="9" t="s">
        <v>9</v>
      </c>
      <c r="F22" s="9" t="s">
        <v>1</v>
      </c>
      <c r="G22" s="9" t="s">
        <v>3</v>
      </c>
      <c r="H22" s="9" t="s">
        <v>3</v>
      </c>
      <c r="I22" s="10">
        <v>44</v>
      </c>
      <c r="J22" s="9" t="s">
        <v>11</v>
      </c>
      <c r="K22" s="9" t="s">
        <v>11</v>
      </c>
      <c r="L22" s="9" t="s">
        <v>11</v>
      </c>
      <c r="M22" s="9" t="s">
        <v>11</v>
      </c>
      <c r="N22" s="9" t="s">
        <v>12</v>
      </c>
      <c r="O22" s="9" t="s">
        <v>12</v>
      </c>
      <c r="P22" s="9" t="s">
        <v>12</v>
      </c>
    </row>
    <row r="23" spans="1:16" s="2" customFormat="1" ht="20.100000000000001" customHeight="1">
      <c r="A23" s="8" t="s">
        <v>75</v>
      </c>
      <c r="B23" s="15" t="s">
        <v>46</v>
      </c>
      <c r="C23" s="14" t="str">
        <f t="shared" si="0"/>
        <v>Subject21.EF</v>
      </c>
      <c r="D23" s="9" t="s">
        <v>162</v>
      </c>
      <c r="E23" s="9" t="s">
        <v>13</v>
      </c>
      <c r="F23" s="9" t="s">
        <v>1</v>
      </c>
      <c r="G23" s="9" t="s">
        <v>3</v>
      </c>
      <c r="H23" s="9" t="s">
        <v>3</v>
      </c>
      <c r="I23" s="10">
        <v>44</v>
      </c>
      <c r="J23" s="9" t="s">
        <v>11</v>
      </c>
      <c r="K23" s="9" t="s">
        <v>11</v>
      </c>
      <c r="L23" s="9" t="s">
        <v>11</v>
      </c>
      <c r="M23" s="9" t="s">
        <v>11</v>
      </c>
      <c r="N23" s="9" t="s">
        <v>12</v>
      </c>
      <c r="O23" s="9" t="s">
        <v>12</v>
      </c>
      <c r="P23" s="9" t="s">
        <v>12</v>
      </c>
    </row>
    <row r="24" spans="1:16" s="2" customFormat="1" ht="20.100000000000001" customHeight="1">
      <c r="A24" s="8" t="s">
        <v>76</v>
      </c>
      <c r="B24" s="15" t="s">
        <v>46</v>
      </c>
      <c r="C24" s="14" t="str">
        <f t="shared" si="0"/>
        <v>Subject21.VA</v>
      </c>
      <c r="D24" s="9" t="s">
        <v>163</v>
      </c>
      <c r="E24" s="9" t="s">
        <v>14</v>
      </c>
      <c r="F24" s="9" t="s">
        <v>1</v>
      </c>
      <c r="G24" s="9" t="s">
        <v>3</v>
      </c>
      <c r="H24" s="9" t="s">
        <v>3</v>
      </c>
      <c r="I24" s="10">
        <v>44</v>
      </c>
      <c r="J24" s="9" t="s">
        <v>11</v>
      </c>
      <c r="K24" s="9" t="s">
        <v>11</v>
      </c>
      <c r="L24" s="9" t="s">
        <v>11</v>
      </c>
      <c r="M24" s="9" t="s">
        <v>11</v>
      </c>
      <c r="N24" s="9" t="s">
        <v>12</v>
      </c>
      <c r="O24" s="9" t="s">
        <v>12</v>
      </c>
      <c r="P24" s="9" t="s">
        <v>12</v>
      </c>
    </row>
    <row r="25" spans="1:16" s="2" customFormat="1" ht="20.100000000000001" customHeight="1">
      <c r="A25" s="8" t="s">
        <v>77</v>
      </c>
      <c r="B25" s="15" t="s">
        <v>46</v>
      </c>
      <c r="C25" s="14" t="str">
        <f t="shared" si="0"/>
        <v>Subject21.OR</v>
      </c>
      <c r="D25" s="9" t="s">
        <v>164</v>
      </c>
      <c r="E25" s="9" t="s">
        <v>17</v>
      </c>
      <c r="F25" s="9" t="s">
        <v>2</v>
      </c>
      <c r="G25" s="9" t="s">
        <v>3</v>
      </c>
      <c r="H25" s="9" t="s">
        <v>3</v>
      </c>
      <c r="I25" s="10">
        <v>44</v>
      </c>
      <c r="J25" s="9" t="s">
        <v>11</v>
      </c>
      <c r="K25" s="9" t="s">
        <v>11</v>
      </c>
      <c r="L25" s="9" t="s">
        <v>11</v>
      </c>
      <c r="M25" s="9" t="s">
        <v>11</v>
      </c>
      <c r="N25" s="9" t="s">
        <v>12</v>
      </c>
      <c r="O25" s="9" t="s">
        <v>12</v>
      </c>
      <c r="P25" s="9" t="s">
        <v>12</v>
      </c>
    </row>
    <row r="26" spans="1:16" s="2" customFormat="1" ht="20.100000000000001" customHeight="1">
      <c r="A26" s="8" t="s">
        <v>78</v>
      </c>
      <c r="B26" s="15" t="s">
        <v>46</v>
      </c>
      <c r="C26" s="14" t="str">
        <f t="shared" si="0"/>
        <v>Subject21.FE</v>
      </c>
      <c r="D26" s="9" t="s">
        <v>165</v>
      </c>
      <c r="E26" s="9" t="s">
        <v>15</v>
      </c>
      <c r="F26" s="9" t="s">
        <v>2</v>
      </c>
      <c r="G26" s="9" t="s">
        <v>3</v>
      </c>
      <c r="H26" s="9" t="s">
        <v>3</v>
      </c>
      <c r="I26" s="10">
        <v>44</v>
      </c>
      <c r="J26" s="9" t="s">
        <v>11</v>
      </c>
      <c r="K26" s="9" t="s">
        <v>11</v>
      </c>
      <c r="L26" s="9" t="s">
        <v>11</v>
      </c>
      <c r="M26" s="9" t="s">
        <v>11</v>
      </c>
      <c r="N26" s="9" t="s">
        <v>12</v>
      </c>
      <c r="O26" s="9" t="s">
        <v>12</v>
      </c>
      <c r="P26" s="9" t="s">
        <v>12</v>
      </c>
    </row>
    <row r="27" spans="1:16" s="2" customFormat="1" ht="20.100000000000001" customHeight="1">
      <c r="A27" s="8" t="s">
        <v>79</v>
      </c>
      <c r="B27" s="15" t="s">
        <v>40</v>
      </c>
      <c r="C27" s="14" t="str">
        <f>CONCATENATE(B27,".",D27)</f>
        <v>Subject16.EN</v>
      </c>
      <c r="D27" s="9" t="s">
        <v>161</v>
      </c>
      <c r="E27" s="9" t="s">
        <v>9</v>
      </c>
      <c r="F27" s="9" t="s">
        <v>1</v>
      </c>
      <c r="G27" s="9" t="s">
        <v>21</v>
      </c>
      <c r="H27" s="9" t="s">
        <v>28</v>
      </c>
      <c r="I27" s="10">
        <v>42</v>
      </c>
      <c r="J27" s="9" t="s">
        <v>12</v>
      </c>
      <c r="K27" s="9" t="s">
        <v>12</v>
      </c>
      <c r="L27" s="9" t="s">
        <v>11</v>
      </c>
      <c r="M27" s="9" t="s">
        <v>12</v>
      </c>
      <c r="N27" s="9" t="s">
        <v>12</v>
      </c>
      <c r="O27" s="9" t="s">
        <v>12</v>
      </c>
      <c r="P27" s="9" t="s">
        <v>12</v>
      </c>
    </row>
    <row r="28" spans="1:16" s="2" customFormat="1" ht="20.100000000000001" customHeight="1">
      <c r="A28" s="8" t="s">
        <v>80</v>
      </c>
      <c r="B28" s="15" t="s">
        <v>40</v>
      </c>
      <c r="C28" s="14" t="str">
        <f t="shared" si="0"/>
        <v>Subject16.EF</v>
      </c>
      <c r="D28" s="9" t="s">
        <v>162</v>
      </c>
      <c r="E28" s="9" t="s">
        <v>13</v>
      </c>
      <c r="F28" s="9" t="s">
        <v>1</v>
      </c>
      <c r="G28" s="9" t="s">
        <v>21</v>
      </c>
      <c r="H28" s="9" t="s">
        <v>28</v>
      </c>
      <c r="I28" s="10">
        <v>42</v>
      </c>
      <c r="J28" s="9" t="s">
        <v>12</v>
      </c>
      <c r="K28" s="9" t="s">
        <v>12</v>
      </c>
      <c r="L28" s="9" t="s">
        <v>11</v>
      </c>
      <c r="M28" s="9" t="s">
        <v>12</v>
      </c>
      <c r="N28" s="9" t="s">
        <v>12</v>
      </c>
      <c r="O28" s="9" t="s">
        <v>12</v>
      </c>
      <c r="P28" s="9" t="s">
        <v>12</v>
      </c>
    </row>
    <row r="29" spans="1:16" s="2" customFormat="1" ht="20.100000000000001" customHeight="1">
      <c r="A29" s="8" t="s">
        <v>81</v>
      </c>
      <c r="B29" s="15" t="s">
        <v>40</v>
      </c>
      <c r="C29" s="14" t="str">
        <f t="shared" si="0"/>
        <v>Subject16.VA</v>
      </c>
      <c r="D29" s="9" t="s">
        <v>163</v>
      </c>
      <c r="E29" s="9" t="s">
        <v>14</v>
      </c>
      <c r="F29" s="9" t="s">
        <v>1</v>
      </c>
      <c r="G29" s="9" t="s">
        <v>21</v>
      </c>
      <c r="H29" s="9" t="s">
        <v>28</v>
      </c>
      <c r="I29" s="10">
        <v>42</v>
      </c>
      <c r="J29" s="9" t="s">
        <v>12</v>
      </c>
      <c r="K29" s="9" t="s">
        <v>12</v>
      </c>
      <c r="L29" s="9" t="s">
        <v>11</v>
      </c>
      <c r="M29" s="9" t="s">
        <v>12</v>
      </c>
      <c r="N29" s="9" t="s">
        <v>12</v>
      </c>
      <c r="O29" s="9" t="s">
        <v>12</v>
      </c>
      <c r="P29" s="9" t="s">
        <v>12</v>
      </c>
    </row>
    <row r="30" spans="1:16" s="2" customFormat="1" ht="20.100000000000001" customHeight="1">
      <c r="A30" s="8" t="s">
        <v>82</v>
      </c>
      <c r="B30" s="15" t="s">
        <v>40</v>
      </c>
      <c r="C30" s="14" t="str">
        <f t="shared" si="0"/>
        <v>Subject16.OR</v>
      </c>
      <c r="D30" s="9" t="s">
        <v>164</v>
      </c>
      <c r="E30" s="9" t="s">
        <v>17</v>
      </c>
      <c r="F30" s="9" t="s">
        <v>2</v>
      </c>
      <c r="G30" s="9" t="s">
        <v>21</v>
      </c>
      <c r="H30" s="9" t="s">
        <v>28</v>
      </c>
      <c r="I30" s="10">
        <v>42</v>
      </c>
      <c r="J30" s="9" t="s">
        <v>12</v>
      </c>
      <c r="K30" s="9" t="s">
        <v>12</v>
      </c>
      <c r="L30" s="9" t="s">
        <v>11</v>
      </c>
      <c r="M30" s="9" t="s">
        <v>12</v>
      </c>
      <c r="N30" s="9" t="s">
        <v>12</v>
      </c>
      <c r="O30" s="9" t="s">
        <v>12</v>
      </c>
      <c r="P30" s="9" t="s">
        <v>12</v>
      </c>
    </row>
    <row r="31" spans="1:16" s="2" customFormat="1" ht="20.100000000000001" customHeight="1">
      <c r="A31" s="8" t="s">
        <v>83</v>
      </c>
      <c r="B31" s="15" t="s">
        <v>40</v>
      </c>
      <c r="C31" s="14" t="str">
        <f t="shared" si="0"/>
        <v>Subject16.FE</v>
      </c>
      <c r="D31" s="9" t="s">
        <v>165</v>
      </c>
      <c r="E31" s="9" t="s">
        <v>15</v>
      </c>
      <c r="F31" s="9" t="s">
        <v>2</v>
      </c>
      <c r="G31" s="9" t="s">
        <v>21</v>
      </c>
      <c r="H31" s="9" t="s">
        <v>28</v>
      </c>
      <c r="I31" s="10">
        <v>42</v>
      </c>
      <c r="J31" s="9" t="s">
        <v>12</v>
      </c>
      <c r="K31" s="9" t="s">
        <v>12</v>
      </c>
      <c r="L31" s="9" t="s">
        <v>11</v>
      </c>
      <c r="M31" s="9" t="s">
        <v>12</v>
      </c>
      <c r="N31" s="9" t="s">
        <v>12</v>
      </c>
      <c r="O31" s="9" t="s">
        <v>12</v>
      </c>
      <c r="P31" s="9" t="s">
        <v>12</v>
      </c>
    </row>
    <row r="32" spans="1:16" s="2" customFormat="1" ht="20.100000000000001" customHeight="1">
      <c r="A32" s="8" t="s">
        <v>84</v>
      </c>
      <c r="B32" s="15" t="s">
        <v>45</v>
      </c>
      <c r="C32" s="14" t="str">
        <f t="shared" si="0"/>
        <v>Subject20.EN</v>
      </c>
      <c r="D32" s="9" t="s">
        <v>161</v>
      </c>
      <c r="E32" s="9" t="s">
        <v>9</v>
      </c>
      <c r="F32" s="9" t="s">
        <v>1</v>
      </c>
      <c r="G32" s="9" t="s">
        <v>3</v>
      </c>
      <c r="H32" s="9" t="s">
        <v>3</v>
      </c>
      <c r="I32" s="10">
        <v>42</v>
      </c>
      <c r="J32" s="9" t="s">
        <v>12</v>
      </c>
      <c r="K32" s="9" t="s">
        <v>11</v>
      </c>
      <c r="L32" s="9" t="s">
        <v>11</v>
      </c>
      <c r="M32" s="9" t="s">
        <v>12</v>
      </c>
      <c r="N32" s="9" t="s">
        <v>12</v>
      </c>
      <c r="O32" s="9" t="s">
        <v>12</v>
      </c>
      <c r="P32" s="9" t="s">
        <v>12</v>
      </c>
    </row>
    <row r="33" spans="1:16" s="2" customFormat="1" ht="20.100000000000001" customHeight="1">
      <c r="A33" s="8" t="s">
        <v>85</v>
      </c>
      <c r="B33" s="15" t="s">
        <v>45</v>
      </c>
      <c r="C33" s="14" t="str">
        <f t="shared" si="0"/>
        <v>Subject20.EF</v>
      </c>
      <c r="D33" s="9" t="s">
        <v>162</v>
      </c>
      <c r="E33" s="9" t="s">
        <v>13</v>
      </c>
      <c r="F33" s="9" t="s">
        <v>1</v>
      </c>
      <c r="G33" s="9" t="s">
        <v>3</v>
      </c>
      <c r="H33" s="9" t="s">
        <v>3</v>
      </c>
      <c r="I33" s="10">
        <v>42</v>
      </c>
      <c r="J33" s="9" t="s">
        <v>12</v>
      </c>
      <c r="K33" s="9" t="s">
        <v>11</v>
      </c>
      <c r="L33" s="9" t="s">
        <v>11</v>
      </c>
      <c r="M33" s="9" t="s">
        <v>12</v>
      </c>
      <c r="N33" s="9" t="s">
        <v>12</v>
      </c>
      <c r="O33" s="9" t="s">
        <v>12</v>
      </c>
      <c r="P33" s="9" t="s">
        <v>12</v>
      </c>
    </row>
    <row r="34" spans="1:16" s="2" customFormat="1" ht="20.100000000000001" customHeight="1">
      <c r="A34" s="8" t="s">
        <v>86</v>
      </c>
      <c r="B34" s="15" t="s">
        <v>45</v>
      </c>
      <c r="C34" s="14" t="str">
        <f t="shared" si="0"/>
        <v>Subject20.VA</v>
      </c>
      <c r="D34" s="9" t="s">
        <v>163</v>
      </c>
      <c r="E34" s="9" t="s">
        <v>14</v>
      </c>
      <c r="F34" s="9" t="s">
        <v>1</v>
      </c>
      <c r="G34" s="9" t="s">
        <v>3</v>
      </c>
      <c r="H34" s="9" t="s">
        <v>3</v>
      </c>
      <c r="I34" s="10">
        <v>42</v>
      </c>
      <c r="J34" s="9" t="s">
        <v>12</v>
      </c>
      <c r="K34" s="9" t="s">
        <v>11</v>
      </c>
      <c r="L34" s="9" t="s">
        <v>11</v>
      </c>
      <c r="M34" s="9" t="s">
        <v>12</v>
      </c>
      <c r="N34" s="9" t="s">
        <v>12</v>
      </c>
      <c r="O34" s="9" t="s">
        <v>12</v>
      </c>
      <c r="P34" s="9" t="s">
        <v>12</v>
      </c>
    </row>
    <row r="35" spans="1:16" s="2" customFormat="1" ht="20.100000000000001" customHeight="1">
      <c r="A35" s="8" t="s">
        <v>87</v>
      </c>
      <c r="B35" s="15" t="s">
        <v>45</v>
      </c>
      <c r="C35" s="14" t="str">
        <f t="shared" si="0"/>
        <v>Subject20.OR</v>
      </c>
      <c r="D35" s="9" t="s">
        <v>164</v>
      </c>
      <c r="E35" s="9" t="s">
        <v>17</v>
      </c>
      <c r="F35" s="9" t="s">
        <v>2</v>
      </c>
      <c r="G35" s="9" t="s">
        <v>3</v>
      </c>
      <c r="H35" s="9" t="s">
        <v>3</v>
      </c>
      <c r="I35" s="10">
        <v>42</v>
      </c>
      <c r="J35" s="9" t="s">
        <v>12</v>
      </c>
      <c r="K35" s="9" t="s">
        <v>11</v>
      </c>
      <c r="L35" s="9" t="s">
        <v>11</v>
      </c>
      <c r="M35" s="9" t="s">
        <v>12</v>
      </c>
      <c r="N35" s="9" t="s">
        <v>12</v>
      </c>
      <c r="O35" s="9" t="s">
        <v>12</v>
      </c>
      <c r="P35" s="9" t="s">
        <v>12</v>
      </c>
    </row>
    <row r="36" spans="1:16" s="2" customFormat="1" ht="20.100000000000001" customHeight="1">
      <c r="A36" s="8" t="s">
        <v>88</v>
      </c>
      <c r="B36" s="15" t="s">
        <v>45</v>
      </c>
      <c r="C36" s="14" t="str">
        <f t="shared" si="0"/>
        <v>Subject20.FE</v>
      </c>
      <c r="D36" s="9" t="s">
        <v>165</v>
      </c>
      <c r="E36" s="9" t="s">
        <v>15</v>
      </c>
      <c r="F36" s="9" t="s">
        <v>2</v>
      </c>
      <c r="G36" s="9" t="s">
        <v>3</v>
      </c>
      <c r="H36" s="9" t="s">
        <v>3</v>
      </c>
      <c r="I36" s="10">
        <v>42</v>
      </c>
      <c r="J36" s="9" t="s">
        <v>12</v>
      </c>
      <c r="K36" s="9" t="s">
        <v>11</v>
      </c>
      <c r="L36" s="9" t="s">
        <v>11</v>
      </c>
      <c r="M36" s="9" t="s">
        <v>12</v>
      </c>
      <c r="N36" s="9" t="s">
        <v>12</v>
      </c>
      <c r="O36" s="9" t="s">
        <v>12</v>
      </c>
      <c r="P36" s="9" t="s">
        <v>12</v>
      </c>
    </row>
    <row r="37" spans="1:16" s="2" customFormat="1" ht="20.100000000000001" customHeight="1">
      <c r="A37" s="8" t="s">
        <v>89</v>
      </c>
      <c r="B37" s="15" t="s">
        <v>53</v>
      </c>
      <c r="C37" s="14" t="str">
        <f>CONCATENATE(B37,".",D37)</f>
        <v>Subject9.EN</v>
      </c>
      <c r="D37" s="9" t="s">
        <v>161</v>
      </c>
      <c r="E37" s="9" t="s">
        <v>9</v>
      </c>
      <c r="F37" s="9" t="s">
        <v>1</v>
      </c>
      <c r="G37" s="9" t="s">
        <v>20</v>
      </c>
      <c r="H37" s="9" t="s">
        <v>28</v>
      </c>
      <c r="I37" s="10">
        <v>38</v>
      </c>
      <c r="J37" s="9" t="s">
        <v>12</v>
      </c>
      <c r="K37" s="9" t="s">
        <v>11</v>
      </c>
      <c r="L37" s="9" t="s">
        <v>11</v>
      </c>
      <c r="M37" s="9" t="s">
        <v>12</v>
      </c>
      <c r="N37" s="9" t="s">
        <v>12</v>
      </c>
      <c r="O37" s="9" t="s">
        <v>11</v>
      </c>
      <c r="P37" s="9" t="s">
        <v>12</v>
      </c>
    </row>
    <row r="38" spans="1:16" s="2" customFormat="1" ht="20.100000000000001" customHeight="1">
      <c r="A38" s="8" t="s">
        <v>90</v>
      </c>
      <c r="B38" s="15" t="s">
        <v>53</v>
      </c>
      <c r="C38" s="14" t="str">
        <f t="shared" si="0"/>
        <v>Subject9.EF</v>
      </c>
      <c r="D38" s="9" t="s">
        <v>162</v>
      </c>
      <c r="E38" s="9" t="s">
        <v>13</v>
      </c>
      <c r="F38" s="9" t="s">
        <v>1</v>
      </c>
      <c r="G38" s="9" t="s">
        <v>20</v>
      </c>
      <c r="H38" s="9" t="s">
        <v>28</v>
      </c>
      <c r="I38" s="10">
        <v>38</v>
      </c>
      <c r="J38" s="9" t="s">
        <v>12</v>
      </c>
      <c r="K38" s="9" t="s">
        <v>11</v>
      </c>
      <c r="L38" s="9" t="s">
        <v>11</v>
      </c>
      <c r="M38" s="9" t="s">
        <v>12</v>
      </c>
      <c r="N38" s="9" t="s">
        <v>12</v>
      </c>
      <c r="O38" s="9" t="s">
        <v>11</v>
      </c>
      <c r="P38" s="9" t="s">
        <v>12</v>
      </c>
    </row>
    <row r="39" spans="1:16" s="2" customFormat="1" ht="20.100000000000001" customHeight="1">
      <c r="A39" s="8" t="s">
        <v>91</v>
      </c>
      <c r="B39" s="15" t="s">
        <v>53</v>
      </c>
      <c r="C39" s="14" t="str">
        <f t="shared" si="0"/>
        <v>Subject9.VA</v>
      </c>
      <c r="D39" s="9" t="s">
        <v>163</v>
      </c>
      <c r="E39" s="9" t="s">
        <v>14</v>
      </c>
      <c r="F39" s="9" t="s">
        <v>1</v>
      </c>
      <c r="G39" s="9" t="s">
        <v>20</v>
      </c>
      <c r="H39" s="9" t="s">
        <v>28</v>
      </c>
      <c r="I39" s="10">
        <v>38</v>
      </c>
      <c r="J39" s="9" t="s">
        <v>12</v>
      </c>
      <c r="K39" s="9" t="s">
        <v>11</v>
      </c>
      <c r="L39" s="9" t="s">
        <v>11</v>
      </c>
      <c r="M39" s="9" t="s">
        <v>12</v>
      </c>
      <c r="N39" s="9" t="s">
        <v>12</v>
      </c>
      <c r="O39" s="9" t="s">
        <v>11</v>
      </c>
      <c r="P39" s="9" t="s">
        <v>12</v>
      </c>
    </row>
    <row r="40" spans="1:16" s="2" customFormat="1" ht="20.100000000000001" customHeight="1">
      <c r="A40" s="8" t="s">
        <v>92</v>
      </c>
      <c r="B40" s="15" t="s">
        <v>53</v>
      </c>
      <c r="C40" s="14" t="str">
        <f t="shared" si="0"/>
        <v>Subject9.OR</v>
      </c>
      <c r="D40" s="9" t="s">
        <v>164</v>
      </c>
      <c r="E40" s="9" t="s">
        <v>17</v>
      </c>
      <c r="F40" s="9" t="s">
        <v>2</v>
      </c>
      <c r="G40" s="9" t="s">
        <v>20</v>
      </c>
      <c r="H40" s="9" t="s">
        <v>28</v>
      </c>
      <c r="I40" s="10">
        <v>38</v>
      </c>
      <c r="J40" s="9" t="s">
        <v>12</v>
      </c>
      <c r="K40" s="9" t="s">
        <v>11</v>
      </c>
      <c r="L40" s="9" t="s">
        <v>11</v>
      </c>
      <c r="M40" s="9" t="s">
        <v>12</v>
      </c>
      <c r="N40" s="9" t="s">
        <v>12</v>
      </c>
      <c r="O40" s="9" t="s">
        <v>11</v>
      </c>
      <c r="P40" s="9" t="s">
        <v>12</v>
      </c>
    </row>
    <row r="41" spans="1:16" s="2" customFormat="1" ht="20.100000000000001" customHeight="1">
      <c r="A41" s="8" t="s">
        <v>93</v>
      </c>
      <c r="B41" s="15" t="s">
        <v>53</v>
      </c>
      <c r="C41" s="14" t="str">
        <f t="shared" si="0"/>
        <v>Subject9.FE</v>
      </c>
      <c r="D41" s="9" t="s">
        <v>165</v>
      </c>
      <c r="E41" s="9" t="s">
        <v>15</v>
      </c>
      <c r="F41" s="9" t="s">
        <v>2</v>
      </c>
      <c r="G41" s="9" t="s">
        <v>20</v>
      </c>
      <c r="H41" s="9" t="s">
        <v>28</v>
      </c>
      <c r="I41" s="10">
        <v>38</v>
      </c>
      <c r="J41" s="9" t="s">
        <v>12</v>
      </c>
      <c r="K41" s="9" t="s">
        <v>11</v>
      </c>
      <c r="L41" s="9" t="s">
        <v>11</v>
      </c>
      <c r="M41" s="9" t="s">
        <v>12</v>
      </c>
      <c r="N41" s="9" t="s">
        <v>12</v>
      </c>
      <c r="O41" s="9" t="s">
        <v>11</v>
      </c>
      <c r="P41" s="9" t="s">
        <v>12</v>
      </c>
    </row>
    <row r="42" spans="1:16" s="2" customFormat="1" ht="20.100000000000001" customHeight="1">
      <c r="A42" s="8" t="s">
        <v>94</v>
      </c>
      <c r="B42" s="15" t="s">
        <v>47</v>
      </c>
      <c r="C42" s="14" t="str">
        <f t="shared" si="0"/>
        <v>Subject3.EN</v>
      </c>
      <c r="D42" s="9" t="s">
        <v>161</v>
      </c>
      <c r="E42" s="9" t="s">
        <v>9</v>
      </c>
      <c r="F42" s="9" t="s">
        <v>1</v>
      </c>
      <c r="G42" s="9" t="s">
        <v>23</v>
      </c>
      <c r="H42" s="9" t="s">
        <v>28</v>
      </c>
      <c r="I42" s="10">
        <v>39</v>
      </c>
      <c r="J42" s="9" t="s">
        <v>12</v>
      </c>
      <c r="K42" s="9" t="s">
        <v>12</v>
      </c>
      <c r="L42" s="9" t="s">
        <v>11</v>
      </c>
      <c r="M42" s="9" t="s">
        <v>12</v>
      </c>
      <c r="N42" s="9" t="s">
        <v>11</v>
      </c>
      <c r="O42" s="9" t="s">
        <v>11</v>
      </c>
      <c r="P42" s="9" t="s">
        <v>12</v>
      </c>
    </row>
    <row r="43" spans="1:16" s="2" customFormat="1" ht="20.100000000000001" customHeight="1">
      <c r="A43" s="8" t="s">
        <v>95</v>
      </c>
      <c r="B43" s="15" t="s">
        <v>47</v>
      </c>
      <c r="C43" s="14" t="str">
        <f t="shared" si="0"/>
        <v>Subject3.EF</v>
      </c>
      <c r="D43" s="9" t="s">
        <v>162</v>
      </c>
      <c r="E43" s="9" t="s">
        <v>13</v>
      </c>
      <c r="F43" s="9" t="s">
        <v>1</v>
      </c>
      <c r="G43" s="9" t="s">
        <v>23</v>
      </c>
      <c r="H43" s="9" t="s">
        <v>28</v>
      </c>
      <c r="I43" s="10">
        <v>39</v>
      </c>
      <c r="J43" s="9" t="s">
        <v>12</v>
      </c>
      <c r="K43" s="9" t="s">
        <v>12</v>
      </c>
      <c r="L43" s="9" t="s">
        <v>11</v>
      </c>
      <c r="M43" s="9" t="s">
        <v>12</v>
      </c>
      <c r="N43" s="9" t="s">
        <v>11</v>
      </c>
      <c r="O43" s="9" t="s">
        <v>11</v>
      </c>
      <c r="P43" s="9" t="s">
        <v>12</v>
      </c>
    </row>
    <row r="44" spans="1:16" s="2" customFormat="1" ht="20.100000000000001" customHeight="1">
      <c r="A44" s="8" t="s">
        <v>96</v>
      </c>
      <c r="B44" s="15" t="s">
        <v>47</v>
      </c>
      <c r="C44" s="14" t="str">
        <f t="shared" si="0"/>
        <v>Subject3.VA</v>
      </c>
      <c r="D44" s="9" t="s">
        <v>163</v>
      </c>
      <c r="E44" s="9" t="s">
        <v>14</v>
      </c>
      <c r="F44" s="9" t="s">
        <v>1</v>
      </c>
      <c r="G44" s="9" t="s">
        <v>23</v>
      </c>
      <c r="H44" s="9" t="s">
        <v>28</v>
      </c>
      <c r="I44" s="10">
        <v>39</v>
      </c>
      <c r="J44" s="9" t="s">
        <v>12</v>
      </c>
      <c r="K44" s="9" t="s">
        <v>12</v>
      </c>
      <c r="L44" s="9" t="s">
        <v>11</v>
      </c>
      <c r="M44" s="9" t="s">
        <v>12</v>
      </c>
      <c r="N44" s="9" t="s">
        <v>11</v>
      </c>
      <c r="O44" s="9" t="s">
        <v>11</v>
      </c>
      <c r="P44" s="9" t="s">
        <v>12</v>
      </c>
    </row>
    <row r="45" spans="1:16" s="2" customFormat="1" ht="20.100000000000001" customHeight="1">
      <c r="A45" s="8" t="s">
        <v>97</v>
      </c>
      <c r="B45" s="15" t="s">
        <v>47</v>
      </c>
      <c r="C45" s="14" t="str">
        <f t="shared" si="0"/>
        <v>Subject3.OR</v>
      </c>
      <c r="D45" s="9" t="s">
        <v>164</v>
      </c>
      <c r="E45" s="9" t="s">
        <v>17</v>
      </c>
      <c r="F45" s="9" t="s">
        <v>2</v>
      </c>
      <c r="G45" s="9" t="s">
        <v>23</v>
      </c>
      <c r="H45" s="9" t="s">
        <v>28</v>
      </c>
      <c r="I45" s="10">
        <v>39</v>
      </c>
      <c r="J45" s="9" t="s">
        <v>12</v>
      </c>
      <c r="K45" s="9" t="s">
        <v>12</v>
      </c>
      <c r="L45" s="9" t="s">
        <v>11</v>
      </c>
      <c r="M45" s="9" t="s">
        <v>12</v>
      </c>
      <c r="N45" s="9" t="s">
        <v>11</v>
      </c>
      <c r="O45" s="9" t="s">
        <v>11</v>
      </c>
      <c r="P45" s="9" t="s">
        <v>12</v>
      </c>
    </row>
    <row r="46" spans="1:16" s="2" customFormat="1" ht="20.100000000000001" customHeight="1">
      <c r="A46" s="8" t="s">
        <v>98</v>
      </c>
      <c r="B46" s="15" t="s">
        <v>47</v>
      </c>
      <c r="C46" s="14" t="str">
        <f t="shared" si="0"/>
        <v>Subject3.FE</v>
      </c>
      <c r="D46" s="9" t="s">
        <v>165</v>
      </c>
      <c r="E46" s="9" t="s">
        <v>15</v>
      </c>
      <c r="F46" s="9" t="s">
        <v>2</v>
      </c>
      <c r="G46" s="9" t="s">
        <v>23</v>
      </c>
      <c r="H46" s="9" t="s">
        <v>28</v>
      </c>
      <c r="I46" s="10">
        <v>39</v>
      </c>
      <c r="J46" s="9" t="s">
        <v>12</v>
      </c>
      <c r="K46" s="9" t="s">
        <v>12</v>
      </c>
      <c r="L46" s="9" t="s">
        <v>11</v>
      </c>
      <c r="M46" s="9" t="s">
        <v>12</v>
      </c>
      <c r="N46" s="9" t="s">
        <v>11</v>
      </c>
      <c r="O46" s="9" t="s">
        <v>11</v>
      </c>
      <c r="P46" s="9" t="s">
        <v>12</v>
      </c>
    </row>
    <row r="47" spans="1:16" s="2" customFormat="1" ht="20.100000000000001" customHeight="1">
      <c r="A47" s="8" t="s">
        <v>99</v>
      </c>
      <c r="B47" s="15" t="s">
        <v>44</v>
      </c>
      <c r="C47" s="14" t="str">
        <f t="shared" si="0"/>
        <v>Subject2.EN</v>
      </c>
      <c r="D47" s="9" t="s">
        <v>161</v>
      </c>
      <c r="E47" s="9" t="s">
        <v>9</v>
      </c>
      <c r="F47" s="9" t="s">
        <v>1</v>
      </c>
      <c r="G47" s="9" t="s">
        <v>3</v>
      </c>
      <c r="H47" s="9" t="s">
        <v>3</v>
      </c>
      <c r="I47" s="10">
        <v>43</v>
      </c>
      <c r="J47" s="9" t="s">
        <v>12</v>
      </c>
      <c r="K47" s="9" t="s">
        <v>11</v>
      </c>
      <c r="L47" s="9" t="s">
        <v>11</v>
      </c>
      <c r="M47" s="9" t="s">
        <v>12</v>
      </c>
      <c r="N47" s="9" t="s">
        <v>12</v>
      </c>
      <c r="O47" s="9" t="s">
        <v>12</v>
      </c>
      <c r="P47" s="9" t="s">
        <v>12</v>
      </c>
    </row>
    <row r="48" spans="1:16" s="2" customFormat="1" ht="20.100000000000001" customHeight="1">
      <c r="A48" s="8" t="s">
        <v>100</v>
      </c>
      <c r="B48" s="15" t="s">
        <v>44</v>
      </c>
      <c r="C48" s="14" t="str">
        <f t="shared" si="0"/>
        <v>Subject2.EF</v>
      </c>
      <c r="D48" s="9" t="s">
        <v>162</v>
      </c>
      <c r="E48" s="9" t="s">
        <v>13</v>
      </c>
      <c r="F48" s="9" t="s">
        <v>1</v>
      </c>
      <c r="G48" s="9" t="s">
        <v>3</v>
      </c>
      <c r="H48" s="9" t="s">
        <v>3</v>
      </c>
      <c r="I48" s="10">
        <v>43</v>
      </c>
      <c r="J48" s="9" t="s">
        <v>12</v>
      </c>
      <c r="K48" s="9" t="s">
        <v>11</v>
      </c>
      <c r="L48" s="9" t="s">
        <v>11</v>
      </c>
      <c r="M48" s="9" t="s">
        <v>12</v>
      </c>
      <c r="N48" s="9" t="s">
        <v>12</v>
      </c>
      <c r="O48" s="9" t="s">
        <v>12</v>
      </c>
      <c r="P48" s="9" t="s">
        <v>12</v>
      </c>
    </row>
    <row r="49" spans="1:16" s="2" customFormat="1" ht="19.5" customHeight="1">
      <c r="A49" s="8" t="s">
        <v>101</v>
      </c>
      <c r="B49" s="15" t="s">
        <v>44</v>
      </c>
      <c r="C49" s="14" t="str">
        <f t="shared" si="0"/>
        <v>Subject2.VA</v>
      </c>
      <c r="D49" s="9" t="s">
        <v>163</v>
      </c>
      <c r="E49" s="9" t="s">
        <v>14</v>
      </c>
      <c r="F49" s="9" t="s">
        <v>1</v>
      </c>
      <c r="G49" s="9" t="s">
        <v>3</v>
      </c>
      <c r="H49" s="9" t="s">
        <v>3</v>
      </c>
      <c r="I49" s="10">
        <v>43</v>
      </c>
      <c r="J49" s="9" t="s">
        <v>12</v>
      </c>
      <c r="K49" s="9" t="s">
        <v>11</v>
      </c>
      <c r="L49" s="9" t="s">
        <v>11</v>
      </c>
      <c r="M49" s="9" t="s">
        <v>12</v>
      </c>
      <c r="N49" s="9" t="s">
        <v>12</v>
      </c>
      <c r="O49" s="9" t="s">
        <v>12</v>
      </c>
      <c r="P49" s="9" t="s">
        <v>12</v>
      </c>
    </row>
    <row r="50" spans="1:16" s="2" customFormat="1" ht="19.5" customHeight="1">
      <c r="A50" s="8" t="s">
        <v>102</v>
      </c>
      <c r="B50" s="15" t="s">
        <v>44</v>
      </c>
      <c r="C50" s="14" t="str">
        <f t="shared" si="0"/>
        <v>Subject2.OR</v>
      </c>
      <c r="D50" s="9" t="s">
        <v>164</v>
      </c>
      <c r="E50" s="9" t="s">
        <v>17</v>
      </c>
      <c r="F50" s="9" t="s">
        <v>2</v>
      </c>
      <c r="G50" s="9" t="s">
        <v>3</v>
      </c>
      <c r="H50" s="9" t="s">
        <v>3</v>
      </c>
      <c r="I50" s="10">
        <v>43</v>
      </c>
      <c r="J50" s="9" t="s">
        <v>12</v>
      </c>
      <c r="K50" s="9" t="s">
        <v>11</v>
      </c>
      <c r="L50" s="9" t="s">
        <v>11</v>
      </c>
      <c r="M50" s="9" t="s">
        <v>12</v>
      </c>
      <c r="N50" s="9" t="s">
        <v>12</v>
      </c>
      <c r="O50" s="9" t="s">
        <v>12</v>
      </c>
      <c r="P50" s="9" t="s">
        <v>12</v>
      </c>
    </row>
    <row r="51" spans="1:16" s="2" customFormat="1" ht="20.100000000000001" customHeight="1">
      <c r="A51" s="8" t="s">
        <v>103</v>
      </c>
      <c r="B51" s="15" t="s">
        <v>44</v>
      </c>
      <c r="C51" s="14" t="str">
        <f t="shared" si="0"/>
        <v>Subject2.FE</v>
      </c>
      <c r="D51" s="9" t="s">
        <v>165</v>
      </c>
      <c r="E51" s="9" t="s">
        <v>15</v>
      </c>
      <c r="F51" s="9" t="s">
        <v>2</v>
      </c>
      <c r="G51" s="9" t="s">
        <v>3</v>
      </c>
      <c r="H51" s="9" t="s">
        <v>3</v>
      </c>
      <c r="I51" s="10">
        <v>43</v>
      </c>
      <c r="J51" s="9" t="s">
        <v>12</v>
      </c>
      <c r="K51" s="9" t="s">
        <v>11</v>
      </c>
      <c r="L51" s="9" t="s">
        <v>11</v>
      </c>
      <c r="M51" s="9" t="s">
        <v>12</v>
      </c>
      <c r="N51" s="9" t="s">
        <v>12</v>
      </c>
      <c r="O51" s="9" t="s">
        <v>12</v>
      </c>
      <c r="P51" s="9" t="s">
        <v>12</v>
      </c>
    </row>
    <row r="52" spans="1:16" s="2" customFormat="1" ht="20.100000000000001" customHeight="1">
      <c r="A52" s="8" t="s">
        <v>104</v>
      </c>
      <c r="B52" s="15" t="s">
        <v>37</v>
      </c>
      <c r="C52" s="14" t="str">
        <f t="shared" si="0"/>
        <v>Subject13.EN</v>
      </c>
      <c r="D52" s="9" t="s">
        <v>161</v>
      </c>
      <c r="E52" s="9" t="s">
        <v>9</v>
      </c>
      <c r="F52" s="9" t="s">
        <v>1</v>
      </c>
      <c r="G52" s="9" t="s">
        <v>18</v>
      </c>
      <c r="H52" s="9" t="s">
        <v>28</v>
      </c>
      <c r="I52" s="10">
        <v>38</v>
      </c>
      <c r="J52" s="9" t="s">
        <v>12</v>
      </c>
      <c r="K52" s="9" t="s">
        <v>11</v>
      </c>
      <c r="L52" s="9" t="s">
        <v>11</v>
      </c>
      <c r="M52" s="9" t="s">
        <v>12</v>
      </c>
      <c r="N52" s="9" t="s">
        <v>12</v>
      </c>
      <c r="O52" s="9" t="s">
        <v>12</v>
      </c>
      <c r="P52" s="9" t="s">
        <v>12</v>
      </c>
    </row>
    <row r="53" spans="1:16" s="2" customFormat="1" ht="20.100000000000001" customHeight="1">
      <c r="A53" s="8" t="s">
        <v>105</v>
      </c>
      <c r="B53" s="15" t="s">
        <v>37</v>
      </c>
      <c r="C53" s="14" t="str">
        <f t="shared" si="0"/>
        <v>Subject13.EF</v>
      </c>
      <c r="D53" s="9" t="s">
        <v>162</v>
      </c>
      <c r="E53" s="9" t="s">
        <v>13</v>
      </c>
      <c r="F53" s="9" t="s">
        <v>1</v>
      </c>
      <c r="G53" s="9" t="s">
        <v>18</v>
      </c>
      <c r="H53" s="9" t="s">
        <v>28</v>
      </c>
      <c r="I53" s="10">
        <v>38</v>
      </c>
      <c r="J53" s="9" t="s">
        <v>12</v>
      </c>
      <c r="K53" s="9" t="s">
        <v>11</v>
      </c>
      <c r="L53" s="9" t="s">
        <v>11</v>
      </c>
      <c r="M53" s="9" t="s">
        <v>12</v>
      </c>
      <c r="N53" s="9" t="s">
        <v>12</v>
      </c>
      <c r="O53" s="9" t="s">
        <v>12</v>
      </c>
      <c r="P53" s="9" t="s">
        <v>12</v>
      </c>
    </row>
    <row r="54" spans="1:16" s="2" customFormat="1" ht="20.100000000000001" customHeight="1">
      <c r="A54" s="8" t="s">
        <v>106</v>
      </c>
      <c r="B54" s="15" t="s">
        <v>37</v>
      </c>
      <c r="C54" s="14" t="str">
        <f t="shared" si="0"/>
        <v>Subject13.VA</v>
      </c>
      <c r="D54" s="9" t="s">
        <v>163</v>
      </c>
      <c r="E54" s="9" t="s">
        <v>14</v>
      </c>
      <c r="F54" s="9" t="s">
        <v>1</v>
      </c>
      <c r="G54" s="9" t="s">
        <v>18</v>
      </c>
      <c r="H54" s="9" t="s">
        <v>28</v>
      </c>
      <c r="I54" s="10">
        <v>38</v>
      </c>
      <c r="J54" s="9" t="s">
        <v>12</v>
      </c>
      <c r="K54" s="9" t="s">
        <v>11</v>
      </c>
      <c r="L54" s="9" t="s">
        <v>11</v>
      </c>
      <c r="M54" s="9" t="s">
        <v>12</v>
      </c>
      <c r="N54" s="9" t="s">
        <v>12</v>
      </c>
      <c r="O54" s="9" t="s">
        <v>12</v>
      </c>
      <c r="P54" s="9" t="s">
        <v>12</v>
      </c>
    </row>
    <row r="55" spans="1:16" s="2" customFormat="1" ht="20.100000000000001" customHeight="1">
      <c r="A55" s="8" t="s">
        <v>107</v>
      </c>
      <c r="B55" s="15" t="s">
        <v>37</v>
      </c>
      <c r="C55" s="14" t="str">
        <f t="shared" si="0"/>
        <v>Subject13.OR</v>
      </c>
      <c r="D55" s="9" t="s">
        <v>164</v>
      </c>
      <c r="E55" s="9" t="s">
        <v>17</v>
      </c>
      <c r="F55" s="9" t="s">
        <v>2</v>
      </c>
      <c r="G55" s="9" t="s">
        <v>18</v>
      </c>
      <c r="H55" s="9" t="s">
        <v>28</v>
      </c>
      <c r="I55" s="10">
        <v>38</v>
      </c>
      <c r="J55" s="9" t="s">
        <v>12</v>
      </c>
      <c r="K55" s="9" t="s">
        <v>11</v>
      </c>
      <c r="L55" s="9" t="s">
        <v>11</v>
      </c>
      <c r="M55" s="9" t="s">
        <v>12</v>
      </c>
      <c r="N55" s="9" t="s">
        <v>12</v>
      </c>
      <c r="O55" s="9" t="s">
        <v>12</v>
      </c>
      <c r="P55" s="9" t="s">
        <v>12</v>
      </c>
    </row>
    <row r="56" spans="1:16" s="2" customFormat="1" ht="20.100000000000001" customHeight="1">
      <c r="A56" s="8" t="s">
        <v>108</v>
      </c>
      <c r="B56" s="15" t="s">
        <v>37</v>
      </c>
      <c r="C56" s="14" t="str">
        <f t="shared" si="0"/>
        <v>Subject13.FE</v>
      </c>
      <c r="D56" s="9" t="s">
        <v>165</v>
      </c>
      <c r="E56" s="9" t="s">
        <v>15</v>
      </c>
      <c r="F56" s="9" t="s">
        <v>2</v>
      </c>
      <c r="G56" s="9" t="s">
        <v>18</v>
      </c>
      <c r="H56" s="9" t="s">
        <v>28</v>
      </c>
      <c r="I56" s="10">
        <v>38</v>
      </c>
      <c r="J56" s="9" t="s">
        <v>12</v>
      </c>
      <c r="K56" s="9" t="s">
        <v>11</v>
      </c>
      <c r="L56" s="9" t="s">
        <v>11</v>
      </c>
      <c r="M56" s="9" t="s">
        <v>12</v>
      </c>
      <c r="N56" s="9" t="s">
        <v>12</v>
      </c>
      <c r="O56" s="9" t="s">
        <v>12</v>
      </c>
      <c r="P56" s="9" t="s">
        <v>12</v>
      </c>
    </row>
    <row r="57" spans="1:16" s="2" customFormat="1" ht="20.100000000000001" customHeight="1">
      <c r="A57" s="8" t="s">
        <v>109</v>
      </c>
      <c r="B57" s="15" t="s">
        <v>43</v>
      </c>
      <c r="C57" s="14" t="str">
        <f t="shared" si="0"/>
        <v>Subject19.EN</v>
      </c>
      <c r="D57" s="9" t="s">
        <v>161</v>
      </c>
      <c r="E57" s="9" t="s">
        <v>9</v>
      </c>
      <c r="F57" s="9" t="s">
        <v>1</v>
      </c>
      <c r="G57" s="9" t="s">
        <v>22</v>
      </c>
      <c r="H57" s="9" t="s">
        <v>28</v>
      </c>
      <c r="I57" s="10">
        <v>33</v>
      </c>
      <c r="J57" s="9" t="s">
        <v>12</v>
      </c>
      <c r="K57" s="9" t="s">
        <v>12</v>
      </c>
      <c r="L57" s="9" t="s">
        <v>12</v>
      </c>
      <c r="M57" s="9" t="s">
        <v>12</v>
      </c>
      <c r="N57" s="9" t="s">
        <v>12</v>
      </c>
      <c r="O57" s="9" t="s">
        <v>12</v>
      </c>
      <c r="P57" s="9" t="s">
        <v>12</v>
      </c>
    </row>
    <row r="58" spans="1:16" s="2" customFormat="1" ht="20.100000000000001" customHeight="1">
      <c r="A58" s="8" t="s">
        <v>110</v>
      </c>
      <c r="B58" s="15" t="s">
        <v>43</v>
      </c>
      <c r="C58" s="14" t="str">
        <f t="shared" si="0"/>
        <v>Subject19.EF</v>
      </c>
      <c r="D58" s="9" t="s">
        <v>162</v>
      </c>
      <c r="E58" s="9" t="s">
        <v>13</v>
      </c>
      <c r="F58" s="9" t="s">
        <v>1</v>
      </c>
      <c r="G58" s="9" t="s">
        <v>22</v>
      </c>
      <c r="H58" s="9" t="s">
        <v>28</v>
      </c>
      <c r="I58" s="10">
        <v>33</v>
      </c>
      <c r="J58" s="9" t="s">
        <v>12</v>
      </c>
      <c r="K58" s="9" t="s">
        <v>12</v>
      </c>
      <c r="L58" s="9" t="s">
        <v>12</v>
      </c>
      <c r="M58" s="9" t="s">
        <v>12</v>
      </c>
      <c r="N58" s="9" t="s">
        <v>12</v>
      </c>
      <c r="O58" s="9" t="s">
        <v>12</v>
      </c>
      <c r="P58" s="9" t="s">
        <v>12</v>
      </c>
    </row>
    <row r="59" spans="1:16" s="2" customFormat="1" ht="20.100000000000001" customHeight="1">
      <c r="A59" s="8" t="s">
        <v>111</v>
      </c>
      <c r="B59" s="15" t="s">
        <v>43</v>
      </c>
      <c r="C59" s="14" t="str">
        <f t="shared" si="0"/>
        <v>Subject19.VA</v>
      </c>
      <c r="D59" s="9" t="s">
        <v>163</v>
      </c>
      <c r="E59" s="9" t="s">
        <v>14</v>
      </c>
      <c r="F59" s="9" t="s">
        <v>1</v>
      </c>
      <c r="G59" s="9" t="s">
        <v>22</v>
      </c>
      <c r="H59" s="9" t="s">
        <v>28</v>
      </c>
      <c r="I59" s="10">
        <v>33</v>
      </c>
      <c r="J59" s="9" t="s">
        <v>12</v>
      </c>
      <c r="K59" s="9" t="s">
        <v>12</v>
      </c>
      <c r="L59" s="9" t="s">
        <v>12</v>
      </c>
      <c r="M59" s="9" t="s">
        <v>12</v>
      </c>
      <c r="N59" s="9" t="s">
        <v>12</v>
      </c>
      <c r="O59" s="9" t="s">
        <v>12</v>
      </c>
      <c r="P59" s="9" t="s">
        <v>12</v>
      </c>
    </row>
    <row r="60" spans="1:16" s="2" customFormat="1" ht="20.100000000000001" customHeight="1">
      <c r="A60" s="8" t="s">
        <v>112</v>
      </c>
      <c r="B60" s="15" t="s">
        <v>43</v>
      </c>
      <c r="C60" s="14" t="str">
        <f>CONCATENATE(B60,".",D60)</f>
        <v>Subject19.OR</v>
      </c>
      <c r="D60" s="9" t="s">
        <v>164</v>
      </c>
      <c r="E60" s="9" t="s">
        <v>17</v>
      </c>
      <c r="F60" s="9" t="s">
        <v>2</v>
      </c>
      <c r="G60" s="9" t="s">
        <v>22</v>
      </c>
      <c r="H60" s="9" t="s">
        <v>28</v>
      </c>
      <c r="I60" s="10">
        <v>33</v>
      </c>
      <c r="J60" s="9" t="s">
        <v>12</v>
      </c>
      <c r="K60" s="9" t="s">
        <v>12</v>
      </c>
      <c r="L60" s="9" t="s">
        <v>12</v>
      </c>
      <c r="M60" s="9" t="s">
        <v>12</v>
      </c>
      <c r="N60" s="9" t="s">
        <v>12</v>
      </c>
      <c r="O60" s="9" t="s">
        <v>12</v>
      </c>
      <c r="P60" s="9" t="s">
        <v>12</v>
      </c>
    </row>
    <row r="61" spans="1:16" s="2" customFormat="1" ht="20.100000000000001" customHeight="1">
      <c r="A61" s="8" t="s">
        <v>113</v>
      </c>
      <c r="B61" s="15" t="s">
        <v>43</v>
      </c>
      <c r="C61" s="14" t="str">
        <f t="shared" si="0"/>
        <v>Subject19.FE</v>
      </c>
      <c r="D61" s="9" t="s">
        <v>165</v>
      </c>
      <c r="E61" s="9" t="s">
        <v>15</v>
      </c>
      <c r="F61" s="9" t="s">
        <v>2</v>
      </c>
      <c r="G61" s="9" t="s">
        <v>22</v>
      </c>
      <c r="H61" s="9" t="s">
        <v>28</v>
      </c>
      <c r="I61" s="10">
        <v>33</v>
      </c>
      <c r="J61" s="9" t="s">
        <v>12</v>
      </c>
      <c r="K61" s="9" t="s">
        <v>12</v>
      </c>
      <c r="L61" s="9" t="s">
        <v>12</v>
      </c>
      <c r="M61" s="9" t="s">
        <v>12</v>
      </c>
      <c r="N61" s="9" t="s">
        <v>12</v>
      </c>
      <c r="O61" s="9" t="s">
        <v>12</v>
      </c>
      <c r="P61" s="9" t="s">
        <v>12</v>
      </c>
    </row>
    <row r="62" spans="1:16" s="2" customFormat="1" ht="20.100000000000001" customHeight="1">
      <c r="A62" s="8" t="s">
        <v>114</v>
      </c>
      <c r="B62" s="15" t="s">
        <v>34</v>
      </c>
      <c r="C62" s="14" t="str">
        <f t="shared" si="0"/>
        <v>Subject10.EN</v>
      </c>
      <c r="D62" s="9" t="s">
        <v>161</v>
      </c>
      <c r="E62" s="9" t="s">
        <v>9</v>
      </c>
      <c r="F62" s="9" t="s">
        <v>1</v>
      </c>
      <c r="G62" s="9" t="s">
        <v>16</v>
      </c>
      <c r="H62" s="9" t="s">
        <v>28</v>
      </c>
      <c r="I62" s="10">
        <v>33</v>
      </c>
      <c r="J62" s="9" t="s">
        <v>12</v>
      </c>
      <c r="K62" s="9" t="s">
        <v>12</v>
      </c>
      <c r="L62" s="9" t="s">
        <v>11</v>
      </c>
      <c r="M62" s="9" t="s">
        <v>12</v>
      </c>
      <c r="N62" s="9" t="s">
        <v>12</v>
      </c>
      <c r="O62" s="9" t="s">
        <v>12</v>
      </c>
      <c r="P62" s="9" t="s">
        <v>12</v>
      </c>
    </row>
    <row r="63" spans="1:16" s="2" customFormat="1" ht="20.100000000000001" customHeight="1">
      <c r="A63" s="8" t="s">
        <v>115</v>
      </c>
      <c r="B63" s="15" t="s">
        <v>34</v>
      </c>
      <c r="C63" s="14" t="str">
        <f t="shared" si="0"/>
        <v>Subject10.EF</v>
      </c>
      <c r="D63" s="9" t="s">
        <v>162</v>
      </c>
      <c r="E63" s="9" t="s">
        <v>13</v>
      </c>
      <c r="F63" s="9" t="s">
        <v>1</v>
      </c>
      <c r="G63" s="9" t="s">
        <v>16</v>
      </c>
      <c r="H63" s="9" t="s">
        <v>28</v>
      </c>
      <c r="I63" s="10">
        <v>33</v>
      </c>
      <c r="J63" s="9" t="s">
        <v>12</v>
      </c>
      <c r="K63" s="9" t="s">
        <v>12</v>
      </c>
      <c r="L63" s="9" t="s">
        <v>11</v>
      </c>
      <c r="M63" s="9" t="s">
        <v>12</v>
      </c>
      <c r="N63" s="9" t="s">
        <v>12</v>
      </c>
      <c r="O63" s="9" t="s">
        <v>12</v>
      </c>
      <c r="P63" s="9" t="s">
        <v>12</v>
      </c>
    </row>
    <row r="64" spans="1:16" s="2" customFormat="1" ht="20.100000000000001" customHeight="1">
      <c r="A64" s="8" t="s">
        <v>116</v>
      </c>
      <c r="B64" s="15" t="s">
        <v>34</v>
      </c>
      <c r="C64" s="14" t="str">
        <f t="shared" si="0"/>
        <v>Subject10.VA</v>
      </c>
      <c r="D64" s="9" t="s">
        <v>163</v>
      </c>
      <c r="E64" s="9" t="s">
        <v>14</v>
      </c>
      <c r="F64" s="9" t="s">
        <v>1</v>
      </c>
      <c r="G64" s="9" t="s">
        <v>16</v>
      </c>
      <c r="H64" s="9" t="s">
        <v>28</v>
      </c>
      <c r="I64" s="10">
        <v>33</v>
      </c>
      <c r="J64" s="9" t="s">
        <v>12</v>
      </c>
      <c r="K64" s="9" t="s">
        <v>12</v>
      </c>
      <c r="L64" s="9" t="s">
        <v>11</v>
      </c>
      <c r="M64" s="9" t="s">
        <v>12</v>
      </c>
      <c r="N64" s="9" t="s">
        <v>12</v>
      </c>
      <c r="O64" s="9" t="s">
        <v>12</v>
      </c>
      <c r="P64" s="9" t="s">
        <v>12</v>
      </c>
    </row>
    <row r="65" spans="1:16" s="2" customFormat="1" ht="20.100000000000001" customHeight="1">
      <c r="A65" s="8" t="s">
        <v>117</v>
      </c>
      <c r="B65" s="15" t="s">
        <v>34</v>
      </c>
      <c r="C65" s="14" t="str">
        <f t="shared" si="0"/>
        <v>Subject10.OR</v>
      </c>
      <c r="D65" s="9" t="s">
        <v>164</v>
      </c>
      <c r="E65" s="9" t="s">
        <v>17</v>
      </c>
      <c r="F65" s="9" t="s">
        <v>2</v>
      </c>
      <c r="G65" s="9" t="s">
        <v>16</v>
      </c>
      <c r="H65" s="9" t="s">
        <v>28</v>
      </c>
      <c r="I65" s="10">
        <v>33</v>
      </c>
      <c r="J65" s="9" t="s">
        <v>12</v>
      </c>
      <c r="K65" s="9" t="s">
        <v>12</v>
      </c>
      <c r="L65" s="9" t="s">
        <v>11</v>
      </c>
      <c r="M65" s="9" t="s">
        <v>12</v>
      </c>
      <c r="N65" s="9" t="s">
        <v>12</v>
      </c>
      <c r="O65" s="9" t="s">
        <v>12</v>
      </c>
      <c r="P65" s="9" t="s">
        <v>12</v>
      </c>
    </row>
    <row r="66" spans="1:16" s="2" customFormat="1" ht="20.100000000000001" customHeight="1">
      <c r="A66" s="8" t="s">
        <v>118</v>
      </c>
      <c r="B66" s="15" t="s">
        <v>34</v>
      </c>
      <c r="C66" s="14" t="str">
        <f t="shared" si="0"/>
        <v>Subject10.FE</v>
      </c>
      <c r="D66" s="9" t="s">
        <v>165</v>
      </c>
      <c r="E66" s="9" t="s">
        <v>15</v>
      </c>
      <c r="F66" s="9" t="s">
        <v>2</v>
      </c>
      <c r="G66" s="9" t="s">
        <v>16</v>
      </c>
      <c r="H66" s="9" t="s">
        <v>28</v>
      </c>
      <c r="I66" s="10">
        <v>33</v>
      </c>
      <c r="J66" s="9" t="s">
        <v>12</v>
      </c>
      <c r="K66" s="9" t="s">
        <v>12</v>
      </c>
      <c r="L66" s="9" t="s">
        <v>11</v>
      </c>
      <c r="M66" s="9" t="s">
        <v>12</v>
      </c>
      <c r="N66" s="9" t="s">
        <v>12</v>
      </c>
      <c r="O66" s="9" t="s">
        <v>12</v>
      </c>
      <c r="P66" s="9" t="s">
        <v>12</v>
      </c>
    </row>
    <row r="67" spans="1:16" s="2" customFormat="1" ht="20.100000000000001" customHeight="1">
      <c r="A67" s="8" t="s">
        <v>119</v>
      </c>
      <c r="B67" s="15" t="s">
        <v>39</v>
      </c>
      <c r="C67" s="14" t="str">
        <f t="shared" ref="C67:C83" si="1">CONCATENATE(B67,".",D67)</f>
        <v>Subject15.EN</v>
      </c>
      <c r="D67" s="9" t="s">
        <v>161</v>
      </c>
      <c r="E67" s="9" t="s">
        <v>9</v>
      </c>
      <c r="F67" s="9" t="s">
        <v>1</v>
      </c>
      <c r="G67" s="9" t="s">
        <v>21</v>
      </c>
      <c r="H67" s="9" t="s">
        <v>28</v>
      </c>
      <c r="I67" s="10">
        <v>41</v>
      </c>
      <c r="J67" s="9" t="s">
        <v>12</v>
      </c>
      <c r="K67" s="9" t="s">
        <v>12</v>
      </c>
      <c r="L67" s="9" t="s">
        <v>11</v>
      </c>
      <c r="M67" s="9" t="s">
        <v>12</v>
      </c>
      <c r="N67" s="9" t="s">
        <v>12</v>
      </c>
      <c r="O67" s="9" t="s">
        <v>11</v>
      </c>
      <c r="P67" s="9" t="s">
        <v>12</v>
      </c>
    </row>
    <row r="68" spans="1:16" s="2" customFormat="1" ht="20.100000000000001" customHeight="1">
      <c r="A68" s="8" t="s">
        <v>120</v>
      </c>
      <c r="B68" s="15" t="s">
        <v>39</v>
      </c>
      <c r="C68" s="14" t="str">
        <f t="shared" si="1"/>
        <v>Subject15.EF</v>
      </c>
      <c r="D68" s="9" t="s">
        <v>162</v>
      </c>
      <c r="E68" s="9" t="s">
        <v>13</v>
      </c>
      <c r="F68" s="9" t="s">
        <v>1</v>
      </c>
      <c r="G68" s="9" t="s">
        <v>21</v>
      </c>
      <c r="H68" s="9" t="s">
        <v>28</v>
      </c>
      <c r="I68" s="10">
        <v>41</v>
      </c>
      <c r="J68" s="9" t="s">
        <v>12</v>
      </c>
      <c r="K68" s="9" t="s">
        <v>12</v>
      </c>
      <c r="L68" s="9" t="s">
        <v>11</v>
      </c>
      <c r="M68" s="9" t="s">
        <v>12</v>
      </c>
      <c r="N68" s="9" t="s">
        <v>12</v>
      </c>
      <c r="O68" s="9" t="s">
        <v>11</v>
      </c>
      <c r="P68" s="9" t="s">
        <v>12</v>
      </c>
    </row>
    <row r="69" spans="1:16" s="2" customFormat="1" ht="20.100000000000001" customHeight="1">
      <c r="A69" s="8" t="s">
        <v>121</v>
      </c>
      <c r="B69" s="15" t="s">
        <v>39</v>
      </c>
      <c r="C69" s="14" t="str">
        <f t="shared" si="1"/>
        <v>Subject15.VA</v>
      </c>
      <c r="D69" s="9" t="s">
        <v>163</v>
      </c>
      <c r="E69" s="9" t="s">
        <v>14</v>
      </c>
      <c r="F69" s="9" t="s">
        <v>1</v>
      </c>
      <c r="G69" s="9" t="s">
        <v>21</v>
      </c>
      <c r="H69" s="9" t="s">
        <v>28</v>
      </c>
      <c r="I69" s="10">
        <v>41</v>
      </c>
      <c r="J69" s="9" t="s">
        <v>12</v>
      </c>
      <c r="K69" s="9" t="s">
        <v>12</v>
      </c>
      <c r="L69" s="9" t="s">
        <v>11</v>
      </c>
      <c r="M69" s="9" t="s">
        <v>12</v>
      </c>
      <c r="N69" s="9" t="s">
        <v>12</v>
      </c>
      <c r="O69" s="9" t="s">
        <v>11</v>
      </c>
      <c r="P69" s="9" t="s">
        <v>12</v>
      </c>
    </row>
    <row r="70" spans="1:16" s="2" customFormat="1" ht="20.100000000000001" customHeight="1">
      <c r="A70" s="8" t="s">
        <v>122</v>
      </c>
      <c r="B70" s="15" t="s">
        <v>39</v>
      </c>
      <c r="C70" s="14" t="str">
        <f t="shared" si="1"/>
        <v>Subject15.OR</v>
      </c>
      <c r="D70" s="9" t="s">
        <v>164</v>
      </c>
      <c r="E70" s="9" t="s">
        <v>17</v>
      </c>
      <c r="F70" s="9" t="s">
        <v>2</v>
      </c>
      <c r="G70" s="9" t="s">
        <v>21</v>
      </c>
      <c r="H70" s="9" t="s">
        <v>28</v>
      </c>
      <c r="I70" s="10">
        <v>41</v>
      </c>
      <c r="J70" s="9" t="s">
        <v>12</v>
      </c>
      <c r="K70" s="9" t="s">
        <v>12</v>
      </c>
      <c r="L70" s="9" t="s">
        <v>11</v>
      </c>
      <c r="M70" s="9" t="s">
        <v>12</v>
      </c>
      <c r="N70" s="9" t="s">
        <v>12</v>
      </c>
      <c r="O70" s="9" t="s">
        <v>11</v>
      </c>
      <c r="P70" s="9" t="s">
        <v>12</v>
      </c>
    </row>
    <row r="71" spans="1:16" s="2" customFormat="1" ht="20.100000000000001" customHeight="1">
      <c r="A71" s="8" t="s">
        <v>123</v>
      </c>
      <c r="B71" s="15" t="s">
        <v>39</v>
      </c>
      <c r="C71" s="14" t="str">
        <f t="shared" si="1"/>
        <v>Subject15.FE</v>
      </c>
      <c r="D71" s="9" t="s">
        <v>165</v>
      </c>
      <c r="E71" s="9" t="s">
        <v>15</v>
      </c>
      <c r="F71" s="9" t="s">
        <v>2</v>
      </c>
      <c r="G71" s="9" t="s">
        <v>21</v>
      </c>
      <c r="H71" s="9" t="s">
        <v>28</v>
      </c>
      <c r="I71" s="10">
        <v>41</v>
      </c>
      <c r="J71" s="9" t="s">
        <v>12</v>
      </c>
      <c r="K71" s="9" t="s">
        <v>12</v>
      </c>
      <c r="L71" s="9" t="s">
        <v>11</v>
      </c>
      <c r="M71" s="9" t="s">
        <v>12</v>
      </c>
      <c r="N71" s="9" t="s">
        <v>12</v>
      </c>
      <c r="O71" s="9" t="s">
        <v>11</v>
      </c>
      <c r="P71" s="9" t="s">
        <v>12</v>
      </c>
    </row>
    <row r="72" spans="1:16" s="2" customFormat="1" ht="20.100000000000001" customHeight="1">
      <c r="A72" s="8" t="s">
        <v>124</v>
      </c>
      <c r="B72" s="15" t="s">
        <v>51</v>
      </c>
      <c r="C72" s="14" t="str">
        <f t="shared" si="1"/>
        <v>Subject7.EN</v>
      </c>
      <c r="D72" s="9" t="s">
        <v>161</v>
      </c>
      <c r="E72" s="9" t="s">
        <v>9</v>
      </c>
      <c r="F72" s="9" t="s">
        <v>1</v>
      </c>
      <c r="G72" s="9" t="s">
        <v>20</v>
      </c>
      <c r="H72" s="9" t="s">
        <v>28</v>
      </c>
      <c r="I72" s="10">
        <v>38</v>
      </c>
      <c r="J72" s="9" t="s">
        <v>12</v>
      </c>
      <c r="K72" s="9" t="s">
        <v>12</v>
      </c>
      <c r="L72" s="9" t="s">
        <v>11</v>
      </c>
      <c r="M72" s="9" t="s">
        <v>12</v>
      </c>
      <c r="N72" s="9" t="s">
        <v>11</v>
      </c>
      <c r="O72" s="9" t="s">
        <v>11</v>
      </c>
      <c r="P72" s="9" t="s">
        <v>12</v>
      </c>
    </row>
    <row r="73" spans="1:16" s="2" customFormat="1" ht="20.100000000000001" customHeight="1">
      <c r="A73" s="8" t="s">
        <v>125</v>
      </c>
      <c r="B73" s="15" t="s">
        <v>51</v>
      </c>
      <c r="C73" s="14" t="str">
        <f t="shared" si="1"/>
        <v>Subject7.EF</v>
      </c>
      <c r="D73" s="9" t="s">
        <v>162</v>
      </c>
      <c r="E73" s="9" t="s">
        <v>13</v>
      </c>
      <c r="F73" s="9" t="s">
        <v>1</v>
      </c>
      <c r="G73" s="9" t="s">
        <v>20</v>
      </c>
      <c r="H73" s="9" t="s">
        <v>28</v>
      </c>
      <c r="I73" s="10">
        <v>38</v>
      </c>
      <c r="J73" s="9" t="s">
        <v>12</v>
      </c>
      <c r="K73" s="9" t="s">
        <v>12</v>
      </c>
      <c r="L73" s="9" t="s">
        <v>11</v>
      </c>
      <c r="M73" s="9" t="s">
        <v>12</v>
      </c>
      <c r="N73" s="9" t="s">
        <v>11</v>
      </c>
      <c r="O73" s="9" t="s">
        <v>11</v>
      </c>
      <c r="P73" s="9" t="s">
        <v>12</v>
      </c>
    </row>
    <row r="74" spans="1:16" s="2" customFormat="1" ht="20.100000000000001" customHeight="1">
      <c r="A74" s="8" t="s">
        <v>126</v>
      </c>
      <c r="B74" s="15" t="s">
        <v>51</v>
      </c>
      <c r="C74" s="14" t="str">
        <f t="shared" si="1"/>
        <v>Subject7.VA</v>
      </c>
      <c r="D74" s="9" t="s">
        <v>163</v>
      </c>
      <c r="E74" s="9" t="s">
        <v>14</v>
      </c>
      <c r="F74" s="9" t="s">
        <v>1</v>
      </c>
      <c r="G74" s="9" t="s">
        <v>20</v>
      </c>
      <c r="H74" s="9" t="s">
        <v>28</v>
      </c>
      <c r="I74" s="10">
        <v>38</v>
      </c>
      <c r="J74" s="9" t="s">
        <v>12</v>
      </c>
      <c r="K74" s="9" t="s">
        <v>12</v>
      </c>
      <c r="L74" s="9" t="s">
        <v>11</v>
      </c>
      <c r="M74" s="9" t="s">
        <v>12</v>
      </c>
      <c r="N74" s="9" t="s">
        <v>11</v>
      </c>
      <c r="O74" s="9" t="s">
        <v>11</v>
      </c>
      <c r="P74" s="9" t="s">
        <v>12</v>
      </c>
    </row>
    <row r="75" spans="1:16" s="2" customFormat="1" ht="20.100000000000001" customHeight="1">
      <c r="A75" s="8" t="s">
        <v>127</v>
      </c>
      <c r="B75" s="15" t="s">
        <v>51</v>
      </c>
      <c r="C75" s="14" t="str">
        <f t="shared" si="1"/>
        <v>Subject7.OR</v>
      </c>
      <c r="D75" s="9" t="s">
        <v>164</v>
      </c>
      <c r="E75" s="9" t="s">
        <v>17</v>
      </c>
      <c r="F75" s="9" t="s">
        <v>2</v>
      </c>
      <c r="G75" s="9" t="s">
        <v>20</v>
      </c>
      <c r="H75" s="9" t="s">
        <v>28</v>
      </c>
      <c r="I75" s="10">
        <v>38</v>
      </c>
      <c r="J75" s="9" t="s">
        <v>12</v>
      </c>
      <c r="K75" s="9" t="s">
        <v>12</v>
      </c>
      <c r="L75" s="9" t="s">
        <v>11</v>
      </c>
      <c r="M75" s="9" t="s">
        <v>12</v>
      </c>
      <c r="N75" s="9" t="s">
        <v>11</v>
      </c>
      <c r="O75" s="9" t="s">
        <v>11</v>
      </c>
      <c r="P75" s="9" t="s">
        <v>12</v>
      </c>
    </row>
    <row r="76" spans="1:16" s="2" customFormat="1" ht="20.100000000000001" customHeight="1">
      <c r="A76" s="8" t="s">
        <v>128</v>
      </c>
      <c r="B76" s="15" t="s">
        <v>51</v>
      </c>
      <c r="C76" s="14" t="str">
        <f t="shared" si="1"/>
        <v>Subject7.FE</v>
      </c>
      <c r="D76" s="9" t="s">
        <v>165</v>
      </c>
      <c r="E76" s="9" t="s">
        <v>15</v>
      </c>
      <c r="F76" s="9" t="s">
        <v>2</v>
      </c>
      <c r="G76" s="9" t="s">
        <v>20</v>
      </c>
      <c r="H76" s="9" t="s">
        <v>28</v>
      </c>
      <c r="I76" s="10">
        <v>38</v>
      </c>
      <c r="J76" s="9" t="s">
        <v>12</v>
      </c>
      <c r="K76" s="9" t="s">
        <v>12</v>
      </c>
      <c r="L76" s="9" t="s">
        <v>11</v>
      </c>
      <c r="M76" s="9" t="s">
        <v>12</v>
      </c>
      <c r="N76" s="9" t="s">
        <v>11</v>
      </c>
      <c r="O76" s="9" t="s">
        <v>11</v>
      </c>
      <c r="P76" s="9" t="s">
        <v>12</v>
      </c>
    </row>
    <row r="77" spans="1:16" s="2" customFormat="1" ht="20.100000000000001" customHeight="1">
      <c r="A77" s="8" t="s">
        <v>129</v>
      </c>
      <c r="B77" s="15" t="s">
        <v>38</v>
      </c>
      <c r="C77" s="14" t="str">
        <f t="shared" si="1"/>
        <v>Subject14.EN</v>
      </c>
      <c r="D77" s="9" t="s">
        <v>161</v>
      </c>
      <c r="E77" s="9" t="s">
        <v>9</v>
      </c>
      <c r="F77" s="9" t="s">
        <v>1</v>
      </c>
      <c r="G77" s="9" t="s">
        <v>29</v>
      </c>
      <c r="H77" s="9" t="s">
        <v>28</v>
      </c>
      <c r="I77" s="10">
        <v>42</v>
      </c>
      <c r="J77" s="9" t="s">
        <v>12</v>
      </c>
      <c r="K77" s="9" t="s">
        <v>11</v>
      </c>
      <c r="L77" s="9" t="s">
        <v>11</v>
      </c>
      <c r="M77" s="9" t="s">
        <v>12</v>
      </c>
      <c r="N77" s="9" t="s">
        <v>11</v>
      </c>
      <c r="O77" s="9" t="s">
        <v>12</v>
      </c>
      <c r="P77" s="9" t="s">
        <v>12</v>
      </c>
    </row>
    <row r="78" spans="1:16" s="2" customFormat="1" ht="20.100000000000001" customHeight="1">
      <c r="A78" s="8" t="s">
        <v>130</v>
      </c>
      <c r="B78" s="15" t="s">
        <v>38</v>
      </c>
      <c r="C78" s="14" t="str">
        <f t="shared" si="1"/>
        <v>Subject14.EF</v>
      </c>
      <c r="D78" s="9" t="s">
        <v>162</v>
      </c>
      <c r="E78" s="9" t="s">
        <v>13</v>
      </c>
      <c r="F78" s="9" t="s">
        <v>1</v>
      </c>
      <c r="G78" s="9" t="s">
        <v>29</v>
      </c>
      <c r="H78" s="9" t="s">
        <v>28</v>
      </c>
      <c r="I78" s="10">
        <v>42</v>
      </c>
      <c r="J78" s="9" t="s">
        <v>12</v>
      </c>
      <c r="K78" s="9" t="s">
        <v>11</v>
      </c>
      <c r="L78" s="9" t="s">
        <v>11</v>
      </c>
      <c r="M78" s="9" t="s">
        <v>12</v>
      </c>
      <c r="N78" s="9" t="s">
        <v>11</v>
      </c>
      <c r="O78" s="9" t="s">
        <v>12</v>
      </c>
      <c r="P78" s="9" t="s">
        <v>12</v>
      </c>
    </row>
    <row r="79" spans="1:16" s="2" customFormat="1" ht="20.100000000000001" customHeight="1">
      <c r="A79" s="8" t="s">
        <v>131</v>
      </c>
      <c r="B79" s="15" t="s">
        <v>38</v>
      </c>
      <c r="C79" s="14" t="str">
        <f t="shared" si="1"/>
        <v>Subject14.VA</v>
      </c>
      <c r="D79" s="9" t="s">
        <v>163</v>
      </c>
      <c r="E79" s="9" t="s">
        <v>14</v>
      </c>
      <c r="F79" s="9" t="s">
        <v>1</v>
      </c>
      <c r="G79" s="9" t="s">
        <v>29</v>
      </c>
      <c r="H79" s="9" t="s">
        <v>28</v>
      </c>
      <c r="I79" s="10">
        <v>42</v>
      </c>
      <c r="J79" s="9" t="s">
        <v>12</v>
      </c>
      <c r="K79" s="9" t="s">
        <v>11</v>
      </c>
      <c r="L79" s="9" t="s">
        <v>11</v>
      </c>
      <c r="M79" s="9" t="s">
        <v>12</v>
      </c>
      <c r="N79" s="9" t="s">
        <v>11</v>
      </c>
      <c r="O79" s="9" t="s">
        <v>12</v>
      </c>
      <c r="P79" s="9" t="s">
        <v>12</v>
      </c>
    </row>
    <row r="80" spans="1:16" s="2" customFormat="1" ht="20.100000000000001" customHeight="1">
      <c r="A80" s="8" t="s">
        <v>132</v>
      </c>
      <c r="B80" s="15" t="s">
        <v>38</v>
      </c>
      <c r="C80" s="14" t="str">
        <f t="shared" si="1"/>
        <v>Subject14.OR</v>
      </c>
      <c r="D80" s="9" t="s">
        <v>164</v>
      </c>
      <c r="E80" s="9" t="s">
        <v>17</v>
      </c>
      <c r="F80" s="9" t="s">
        <v>2</v>
      </c>
      <c r="G80" s="9" t="s">
        <v>29</v>
      </c>
      <c r="H80" s="9" t="s">
        <v>28</v>
      </c>
      <c r="I80" s="10">
        <v>42</v>
      </c>
      <c r="J80" s="9" t="s">
        <v>12</v>
      </c>
      <c r="K80" s="9" t="s">
        <v>11</v>
      </c>
      <c r="L80" s="9" t="s">
        <v>11</v>
      </c>
      <c r="M80" s="9" t="s">
        <v>12</v>
      </c>
      <c r="N80" s="9" t="s">
        <v>11</v>
      </c>
      <c r="O80" s="9" t="s">
        <v>12</v>
      </c>
      <c r="P80" s="9" t="s">
        <v>12</v>
      </c>
    </row>
    <row r="81" spans="1:16" s="2" customFormat="1" ht="20.100000000000001" customHeight="1">
      <c r="A81" s="8" t="s">
        <v>133</v>
      </c>
      <c r="B81" s="15" t="s">
        <v>38</v>
      </c>
      <c r="C81" s="14" t="str">
        <f t="shared" si="1"/>
        <v>Subject14.FE</v>
      </c>
      <c r="D81" s="9" t="s">
        <v>165</v>
      </c>
      <c r="E81" s="9" t="s">
        <v>15</v>
      </c>
      <c r="F81" s="9" t="s">
        <v>2</v>
      </c>
      <c r="G81" s="9" t="s">
        <v>29</v>
      </c>
      <c r="H81" s="9" t="s">
        <v>28</v>
      </c>
      <c r="I81" s="10">
        <v>42</v>
      </c>
      <c r="J81" s="9" t="s">
        <v>12</v>
      </c>
      <c r="K81" s="9" t="s">
        <v>11</v>
      </c>
      <c r="L81" s="9" t="s">
        <v>11</v>
      </c>
      <c r="M81" s="9" t="s">
        <v>12</v>
      </c>
      <c r="N81" s="9" t="s">
        <v>11</v>
      </c>
      <c r="O81" s="9" t="s">
        <v>12</v>
      </c>
      <c r="P81" s="9" t="s">
        <v>12</v>
      </c>
    </row>
    <row r="82" spans="1:16" s="2" customFormat="1" ht="20.100000000000001" customHeight="1">
      <c r="A82" s="8" t="s">
        <v>134</v>
      </c>
      <c r="B82" s="15" t="s">
        <v>49</v>
      </c>
      <c r="C82" s="14" t="str">
        <f t="shared" si="1"/>
        <v>Subject5.EN</v>
      </c>
      <c r="D82" s="9" t="s">
        <v>161</v>
      </c>
      <c r="E82" s="9" t="s">
        <v>9</v>
      </c>
      <c r="F82" s="9" t="s">
        <v>1</v>
      </c>
      <c r="G82" s="9" t="s">
        <v>3</v>
      </c>
      <c r="H82" s="9" t="s">
        <v>3</v>
      </c>
      <c r="I82" s="10">
        <v>50</v>
      </c>
      <c r="J82" s="9" t="s">
        <v>12</v>
      </c>
      <c r="K82" s="9" t="s">
        <v>11</v>
      </c>
      <c r="L82" s="9" t="s">
        <v>12</v>
      </c>
      <c r="M82" s="9" t="s">
        <v>12</v>
      </c>
      <c r="N82" s="9" t="s">
        <v>12</v>
      </c>
      <c r="O82" s="9" t="s">
        <v>12</v>
      </c>
      <c r="P82" s="9" t="s">
        <v>12</v>
      </c>
    </row>
    <row r="83" spans="1:16" s="2" customFormat="1" ht="20.100000000000001" customHeight="1">
      <c r="A83" s="8" t="s">
        <v>135</v>
      </c>
      <c r="B83" s="15" t="s">
        <v>49</v>
      </c>
      <c r="C83" s="14" t="str">
        <f t="shared" si="1"/>
        <v>Subject5.EF</v>
      </c>
      <c r="D83" s="9" t="s">
        <v>162</v>
      </c>
      <c r="E83" s="9" t="s">
        <v>13</v>
      </c>
      <c r="F83" s="9" t="s">
        <v>1</v>
      </c>
      <c r="G83" s="9" t="s">
        <v>3</v>
      </c>
      <c r="H83" s="9" t="s">
        <v>3</v>
      </c>
      <c r="I83" s="10">
        <v>50</v>
      </c>
      <c r="J83" s="9" t="s">
        <v>12</v>
      </c>
      <c r="K83" s="9" t="s">
        <v>11</v>
      </c>
      <c r="L83" s="9" t="s">
        <v>12</v>
      </c>
      <c r="M83" s="9" t="s">
        <v>12</v>
      </c>
      <c r="N83" s="9" t="s">
        <v>12</v>
      </c>
      <c r="O83" s="9" t="s">
        <v>12</v>
      </c>
      <c r="P83" s="9" t="s">
        <v>12</v>
      </c>
    </row>
    <row r="84" spans="1:16" s="2" customFormat="1" ht="20.100000000000001" customHeight="1">
      <c r="A84" s="8" t="s">
        <v>136</v>
      </c>
      <c r="B84" s="15" t="s">
        <v>49</v>
      </c>
      <c r="C84" s="14" t="str">
        <f>CONCATENATE(B84,".",D84)</f>
        <v>Subject5.VA</v>
      </c>
      <c r="D84" s="9" t="s">
        <v>163</v>
      </c>
      <c r="E84" s="9" t="s">
        <v>14</v>
      </c>
      <c r="F84" s="9" t="s">
        <v>1</v>
      </c>
      <c r="G84" s="9" t="s">
        <v>3</v>
      </c>
      <c r="H84" s="9" t="s">
        <v>3</v>
      </c>
      <c r="I84" s="10">
        <v>50</v>
      </c>
      <c r="J84" s="9" t="s">
        <v>12</v>
      </c>
      <c r="K84" s="9" t="s">
        <v>11</v>
      </c>
      <c r="L84" s="9" t="s">
        <v>12</v>
      </c>
      <c r="M84" s="9" t="s">
        <v>12</v>
      </c>
      <c r="N84" s="9" t="s">
        <v>12</v>
      </c>
      <c r="O84" s="9" t="s">
        <v>12</v>
      </c>
      <c r="P84" s="9" t="s">
        <v>12</v>
      </c>
    </row>
    <row r="85" spans="1:16" s="2" customFormat="1" ht="20.100000000000001" customHeight="1">
      <c r="A85" s="8" t="s">
        <v>137</v>
      </c>
      <c r="B85" s="15" t="s">
        <v>49</v>
      </c>
      <c r="C85" s="14" t="str">
        <f t="shared" ref="C85:C96" si="2">CONCATENATE(B85,".",D85)</f>
        <v>Subject5.OR</v>
      </c>
      <c r="D85" s="9" t="s">
        <v>164</v>
      </c>
      <c r="E85" s="9" t="s">
        <v>17</v>
      </c>
      <c r="F85" s="9" t="s">
        <v>2</v>
      </c>
      <c r="G85" s="9" t="s">
        <v>3</v>
      </c>
      <c r="H85" s="9" t="s">
        <v>3</v>
      </c>
      <c r="I85" s="10">
        <v>50</v>
      </c>
      <c r="J85" s="9" t="s">
        <v>12</v>
      </c>
      <c r="K85" s="9" t="s">
        <v>11</v>
      </c>
      <c r="L85" s="9" t="s">
        <v>12</v>
      </c>
      <c r="M85" s="9" t="s">
        <v>12</v>
      </c>
      <c r="N85" s="9" t="s">
        <v>12</v>
      </c>
      <c r="O85" s="9" t="s">
        <v>12</v>
      </c>
      <c r="P85" s="9" t="s">
        <v>12</v>
      </c>
    </row>
    <row r="86" spans="1:16" s="2" customFormat="1" ht="20.100000000000001" customHeight="1">
      <c r="A86" s="8" t="s">
        <v>138</v>
      </c>
      <c r="B86" s="15" t="s">
        <v>49</v>
      </c>
      <c r="C86" s="14" t="str">
        <f t="shared" si="2"/>
        <v>Subject5.FE</v>
      </c>
      <c r="D86" s="9" t="s">
        <v>165</v>
      </c>
      <c r="E86" s="9" t="s">
        <v>15</v>
      </c>
      <c r="F86" s="9" t="s">
        <v>2</v>
      </c>
      <c r="G86" s="9" t="s">
        <v>3</v>
      </c>
      <c r="H86" s="9" t="s">
        <v>3</v>
      </c>
      <c r="I86" s="10">
        <v>50</v>
      </c>
      <c r="J86" s="9" t="s">
        <v>12</v>
      </c>
      <c r="K86" s="9" t="s">
        <v>11</v>
      </c>
      <c r="L86" s="9" t="s">
        <v>12</v>
      </c>
      <c r="M86" s="9" t="s">
        <v>12</v>
      </c>
      <c r="N86" s="9" t="s">
        <v>12</v>
      </c>
      <c r="O86" s="9" t="s">
        <v>12</v>
      </c>
      <c r="P86" s="9" t="s">
        <v>12</v>
      </c>
    </row>
    <row r="87" spans="1:16" s="2" customFormat="1" ht="20.100000000000001" customHeight="1">
      <c r="A87" s="8" t="s">
        <v>139</v>
      </c>
      <c r="B87" s="15" t="s">
        <v>42</v>
      </c>
      <c r="C87" s="14" t="str">
        <f t="shared" si="2"/>
        <v>Subject18.EN</v>
      </c>
      <c r="D87" s="9" t="s">
        <v>161</v>
      </c>
      <c r="E87" s="9" t="s">
        <v>9</v>
      </c>
      <c r="F87" s="9" t="s">
        <v>1</v>
      </c>
      <c r="G87" s="9" t="s">
        <v>20</v>
      </c>
      <c r="H87" s="9" t="s">
        <v>28</v>
      </c>
      <c r="I87" s="10">
        <v>41</v>
      </c>
      <c r="J87" s="9" t="s">
        <v>11</v>
      </c>
      <c r="K87" s="9" t="s">
        <v>11</v>
      </c>
      <c r="L87" s="9" t="s">
        <v>12</v>
      </c>
      <c r="M87" s="9" t="s">
        <v>11</v>
      </c>
      <c r="N87" s="9" t="s">
        <v>11</v>
      </c>
      <c r="O87" s="9" t="s">
        <v>19</v>
      </c>
      <c r="P87" s="9" t="s">
        <v>19</v>
      </c>
    </row>
    <row r="88" spans="1:16" s="2" customFormat="1" ht="20.100000000000001" customHeight="1">
      <c r="A88" s="8" t="s">
        <v>140</v>
      </c>
      <c r="B88" s="15" t="s">
        <v>42</v>
      </c>
      <c r="C88" s="14" t="str">
        <f t="shared" si="2"/>
        <v>Subject18.EF</v>
      </c>
      <c r="D88" s="9" t="s">
        <v>162</v>
      </c>
      <c r="E88" s="9" t="s">
        <v>13</v>
      </c>
      <c r="F88" s="9" t="s">
        <v>1</v>
      </c>
      <c r="G88" s="9" t="s">
        <v>20</v>
      </c>
      <c r="H88" s="9" t="s">
        <v>28</v>
      </c>
      <c r="I88" s="10">
        <v>41</v>
      </c>
      <c r="J88" s="9" t="s">
        <v>11</v>
      </c>
      <c r="K88" s="9" t="s">
        <v>11</v>
      </c>
      <c r="L88" s="9" t="s">
        <v>12</v>
      </c>
      <c r="M88" s="9" t="s">
        <v>11</v>
      </c>
      <c r="N88" s="9" t="s">
        <v>11</v>
      </c>
      <c r="O88" s="9" t="s">
        <v>19</v>
      </c>
      <c r="P88" s="9" t="s">
        <v>19</v>
      </c>
    </row>
    <row r="89" spans="1:16" s="2" customFormat="1" ht="20.100000000000001" customHeight="1">
      <c r="A89" s="8" t="s">
        <v>141</v>
      </c>
      <c r="B89" s="15" t="s">
        <v>42</v>
      </c>
      <c r="C89" s="14" t="str">
        <f t="shared" si="2"/>
        <v>Subject18.VA</v>
      </c>
      <c r="D89" s="9" t="s">
        <v>163</v>
      </c>
      <c r="E89" s="9" t="s">
        <v>14</v>
      </c>
      <c r="F89" s="9" t="s">
        <v>1</v>
      </c>
      <c r="G89" s="9" t="s">
        <v>20</v>
      </c>
      <c r="H89" s="9" t="s">
        <v>28</v>
      </c>
      <c r="I89" s="10">
        <v>41</v>
      </c>
      <c r="J89" s="9" t="s">
        <v>11</v>
      </c>
      <c r="K89" s="9" t="s">
        <v>11</v>
      </c>
      <c r="L89" s="9" t="s">
        <v>12</v>
      </c>
      <c r="M89" s="9" t="s">
        <v>11</v>
      </c>
      <c r="N89" s="9" t="s">
        <v>11</v>
      </c>
      <c r="O89" s="9" t="s">
        <v>19</v>
      </c>
      <c r="P89" s="9" t="s">
        <v>19</v>
      </c>
    </row>
    <row r="90" spans="1:16" s="2" customFormat="1" ht="20.100000000000001" customHeight="1">
      <c r="A90" s="8" t="s">
        <v>142</v>
      </c>
      <c r="B90" s="15" t="s">
        <v>42</v>
      </c>
      <c r="C90" s="14" t="str">
        <f t="shared" si="2"/>
        <v>Subject18.OR</v>
      </c>
      <c r="D90" s="9" t="s">
        <v>164</v>
      </c>
      <c r="E90" s="9" t="s">
        <v>17</v>
      </c>
      <c r="F90" s="9" t="s">
        <v>2</v>
      </c>
      <c r="G90" s="9" t="s">
        <v>20</v>
      </c>
      <c r="H90" s="9" t="s">
        <v>28</v>
      </c>
      <c r="I90" s="10">
        <v>41</v>
      </c>
      <c r="J90" s="9" t="s">
        <v>11</v>
      </c>
      <c r="K90" s="9" t="s">
        <v>11</v>
      </c>
      <c r="L90" s="9" t="s">
        <v>12</v>
      </c>
      <c r="M90" s="9" t="s">
        <v>11</v>
      </c>
      <c r="N90" s="9" t="s">
        <v>11</v>
      </c>
      <c r="O90" s="9" t="s">
        <v>19</v>
      </c>
      <c r="P90" s="9" t="s">
        <v>19</v>
      </c>
    </row>
    <row r="91" spans="1:16" s="2" customFormat="1" ht="20.100000000000001" customHeight="1">
      <c r="A91" s="8" t="s">
        <v>143</v>
      </c>
      <c r="B91" s="15" t="s">
        <v>42</v>
      </c>
      <c r="C91" s="14" t="str">
        <f t="shared" si="2"/>
        <v>Subject18.FE</v>
      </c>
      <c r="D91" s="9" t="s">
        <v>165</v>
      </c>
      <c r="E91" s="9" t="s">
        <v>15</v>
      </c>
      <c r="F91" s="9" t="s">
        <v>2</v>
      </c>
      <c r="G91" s="9" t="s">
        <v>20</v>
      </c>
      <c r="H91" s="9" t="s">
        <v>28</v>
      </c>
      <c r="I91" s="10">
        <v>41</v>
      </c>
      <c r="J91" s="9" t="s">
        <v>11</v>
      </c>
      <c r="K91" s="9" t="s">
        <v>11</v>
      </c>
      <c r="L91" s="9" t="s">
        <v>12</v>
      </c>
      <c r="M91" s="9" t="s">
        <v>11</v>
      </c>
      <c r="N91" s="9" t="s">
        <v>11</v>
      </c>
      <c r="O91" s="9" t="s">
        <v>19</v>
      </c>
      <c r="P91" s="9" t="s">
        <v>19</v>
      </c>
    </row>
    <row r="92" spans="1:16" s="2" customFormat="1" ht="20.100000000000001" customHeight="1">
      <c r="A92" s="8" t="s">
        <v>144</v>
      </c>
      <c r="B92" s="15" t="s">
        <v>41</v>
      </c>
      <c r="C92" s="14" t="str">
        <f t="shared" si="2"/>
        <v>Subject17.EN</v>
      </c>
      <c r="D92" s="9" t="s">
        <v>161</v>
      </c>
      <c r="E92" s="9" t="s">
        <v>9</v>
      </c>
      <c r="F92" s="9" t="s">
        <v>1</v>
      </c>
      <c r="G92" s="9" t="s">
        <v>3</v>
      </c>
      <c r="H92" s="9" t="s">
        <v>3</v>
      </c>
      <c r="I92" s="10">
        <v>39</v>
      </c>
      <c r="J92" s="9" t="s">
        <v>12</v>
      </c>
      <c r="K92" s="9" t="s">
        <v>11</v>
      </c>
      <c r="L92" s="9" t="s">
        <v>12</v>
      </c>
      <c r="M92" s="9" t="s">
        <v>12</v>
      </c>
      <c r="N92" s="9" t="s">
        <v>11</v>
      </c>
      <c r="O92" s="9" t="s">
        <v>12</v>
      </c>
      <c r="P92" s="9" t="s">
        <v>12</v>
      </c>
    </row>
    <row r="93" spans="1:16" s="2" customFormat="1" ht="20.100000000000001" customHeight="1">
      <c r="A93" s="8" t="s">
        <v>145</v>
      </c>
      <c r="B93" s="15" t="s">
        <v>41</v>
      </c>
      <c r="C93" s="14" t="str">
        <f t="shared" si="2"/>
        <v>Subject17.EF</v>
      </c>
      <c r="D93" s="9" t="s">
        <v>162</v>
      </c>
      <c r="E93" s="9" t="s">
        <v>13</v>
      </c>
      <c r="F93" s="9" t="s">
        <v>1</v>
      </c>
      <c r="G93" s="9" t="s">
        <v>3</v>
      </c>
      <c r="H93" s="9" t="s">
        <v>3</v>
      </c>
      <c r="I93" s="10">
        <v>39</v>
      </c>
      <c r="J93" s="9" t="s">
        <v>12</v>
      </c>
      <c r="K93" s="9" t="s">
        <v>11</v>
      </c>
      <c r="L93" s="9" t="s">
        <v>12</v>
      </c>
      <c r="M93" s="9" t="s">
        <v>12</v>
      </c>
      <c r="N93" s="9" t="s">
        <v>11</v>
      </c>
      <c r="O93" s="9" t="s">
        <v>12</v>
      </c>
      <c r="P93" s="9" t="s">
        <v>12</v>
      </c>
    </row>
    <row r="94" spans="1:16" s="2" customFormat="1" ht="20.100000000000001" customHeight="1">
      <c r="A94" s="8" t="s">
        <v>146</v>
      </c>
      <c r="B94" s="15" t="s">
        <v>41</v>
      </c>
      <c r="C94" s="14" t="str">
        <f t="shared" si="2"/>
        <v>Subject17.VA</v>
      </c>
      <c r="D94" s="9" t="s">
        <v>163</v>
      </c>
      <c r="E94" s="9" t="s">
        <v>14</v>
      </c>
      <c r="F94" s="9" t="s">
        <v>1</v>
      </c>
      <c r="G94" s="9" t="s">
        <v>3</v>
      </c>
      <c r="H94" s="9" t="s">
        <v>3</v>
      </c>
      <c r="I94" s="10">
        <v>39</v>
      </c>
      <c r="J94" s="9" t="s">
        <v>12</v>
      </c>
      <c r="K94" s="9" t="s">
        <v>11</v>
      </c>
      <c r="L94" s="9" t="s">
        <v>12</v>
      </c>
      <c r="M94" s="9" t="s">
        <v>12</v>
      </c>
      <c r="N94" s="9" t="s">
        <v>11</v>
      </c>
      <c r="O94" s="9" t="s">
        <v>12</v>
      </c>
      <c r="P94" s="9" t="s">
        <v>12</v>
      </c>
    </row>
    <row r="95" spans="1:16" s="2" customFormat="1" ht="20.100000000000001" customHeight="1">
      <c r="A95" s="8" t="s">
        <v>147</v>
      </c>
      <c r="B95" s="15" t="s">
        <v>41</v>
      </c>
      <c r="C95" s="14" t="str">
        <f t="shared" si="2"/>
        <v>Subject17.OR</v>
      </c>
      <c r="D95" s="9" t="s">
        <v>164</v>
      </c>
      <c r="E95" s="9" t="s">
        <v>17</v>
      </c>
      <c r="F95" s="9" t="s">
        <v>2</v>
      </c>
      <c r="G95" s="9" t="s">
        <v>3</v>
      </c>
      <c r="H95" s="9" t="s">
        <v>3</v>
      </c>
      <c r="I95" s="10">
        <v>39</v>
      </c>
      <c r="J95" s="9" t="s">
        <v>12</v>
      </c>
      <c r="K95" s="9" t="s">
        <v>11</v>
      </c>
      <c r="L95" s="9" t="s">
        <v>12</v>
      </c>
      <c r="M95" s="9" t="s">
        <v>12</v>
      </c>
      <c r="N95" s="9" t="s">
        <v>11</v>
      </c>
      <c r="O95" s="9" t="s">
        <v>12</v>
      </c>
      <c r="P95" s="9" t="s">
        <v>12</v>
      </c>
    </row>
    <row r="96" spans="1:16" s="2" customFormat="1" ht="20.100000000000001" customHeight="1">
      <c r="A96" s="8" t="s">
        <v>148</v>
      </c>
      <c r="B96" s="15" t="s">
        <v>41</v>
      </c>
      <c r="C96" s="14" t="str">
        <f t="shared" si="2"/>
        <v>Subject17.FE</v>
      </c>
      <c r="D96" s="9" t="s">
        <v>165</v>
      </c>
      <c r="E96" s="9" t="s">
        <v>15</v>
      </c>
      <c r="F96" s="9" t="s">
        <v>2</v>
      </c>
      <c r="G96" s="9" t="s">
        <v>3</v>
      </c>
      <c r="H96" s="9" t="s">
        <v>3</v>
      </c>
      <c r="I96" s="10">
        <v>39</v>
      </c>
      <c r="J96" s="9" t="s">
        <v>12</v>
      </c>
      <c r="K96" s="9" t="s">
        <v>11</v>
      </c>
      <c r="L96" s="9" t="s">
        <v>12</v>
      </c>
      <c r="M96" s="9" t="s">
        <v>12</v>
      </c>
      <c r="N96" s="9" t="s">
        <v>11</v>
      </c>
      <c r="O96" s="9" t="s">
        <v>12</v>
      </c>
      <c r="P96" s="9" t="s">
        <v>12</v>
      </c>
    </row>
    <row r="97" spans="1:16" s="2" customFormat="1" ht="20.100000000000001" customHeight="1">
      <c r="A97" s="8" t="s">
        <v>149</v>
      </c>
      <c r="B97" s="15" t="s">
        <v>33</v>
      </c>
      <c r="C97" s="14" t="str">
        <f>CONCATENATE(B97,".",D97)</f>
        <v>Subject1.EN</v>
      </c>
      <c r="D97" s="9" t="s">
        <v>161</v>
      </c>
      <c r="E97" s="9" t="s">
        <v>9</v>
      </c>
      <c r="F97" s="9" t="s">
        <v>1</v>
      </c>
      <c r="G97" s="9" t="s">
        <v>10</v>
      </c>
      <c r="H97" s="9" t="s">
        <v>28</v>
      </c>
      <c r="I97" s="10">
        <v>47</v>
      </c>
      <c r="J97" s="9" t="s">
        <v>12</v>
      </c>
      <c r="K97" s="9" t="s">
        <v>11</v>
      </c>
      <c r="L97" s="9" t="s">
        <v>11</v>
      </c>
      <c r="M97" s="9" t="s">
        <v>11</v>
      </c>
      <c r="N97" s="9" t="s">
        <v>12</v>
      </c>
      <c r="O97" s="9" t="s">
        <v>12</v>
      </c>
      <c r="P97" s="9" t="s">
        <v>12</v>
      </c>
    </row>
    <row r="98" spans="1:16" s="2" customFormat="1" ht="20.100000000000001" customHeight="1">
      <c r="A98" s="8" t="s">
        <v>150</v>
      </c>
      <c r="B98" s="15" t="s">
        <v>33</v>
      </c>
      <c r="C98" s="14" t="str">
        <f t="shared" ref="C98:C106" si="3">CONCATENATE(B98,".",D98)</f>
        <v>Subject1.EF</v>
      </c>
      <c r="D98" s="9" t="s">
        <v>162</v>
      </c>
      <c r="E98" s="9" t="s">
        <v>13</v>
      </c>
      <c r="F98" s="9" t="s">
        <v>1</v>
      </c>
      <c r="G98" s="9" t="s">
        <v>10</v>
      </c>
      <c r="H98" s="9" t="s">
        <v>28</v>
      </c>
      <c r="I98" s="10">
        <v>47</v>
      </c>
      <c r="J98" s="9" t="s">
        <v>12</v>
      </c>
      <c r="K98" s="9" t="s">
        <v>11</v>
      </c>
      <c r="L98" s="9" t="s">
        <v>11</v>
      </c>
      <c r="M98" s="9" t="s">
        <v>11</v>
      </c>
      <c r="N98" s="9" t="s">
        <v>12</v>
      </c>
      <c r="O98" s="9" t="s">
        <v>12</v>
      </c>
      <c r="P98" s="9" t="s">
        <v>12</v>
      </c>
    </row>
    <row r="99" spans="1:16" s="2" customFormat="1" ht="20.100000000000001" customHeight="1">
      <c r="A99" s="8" t="s">
        <v>151</v>
      </c>
      <c r="B99" s="15" t="s">
        <v>33</v>
      </c>
      <c r="C99" s="14" t="str">
        <f t="shared" si="3"/>
        <v>Subject1.VA</v>
      </c>
      <c r="D99" s="9" t="s">
        <v>163</v>
      </c>
      <c r="E99" s="9" t="s">
        <v>14</v>
      </c>
      <c r="F99" s="9" t="s">
        <v>1</v>
      </c>
      <c r="G99" s="9" t="s">
        <v>10</v>
      </c>
      <c r="H99" s="9" t="s">
        <v>28</v>
      </c>
      <c r="I99" s="10">
        <v>47</v>
      </c>
      <c r="J99" s="9" t="s">
        <v>12</v>
      </c>
      <c r="K99" s="9" t="s">
        <v>11</v>
      </c>
      <c r="L99" s="9" t="s">
        <v>11</v>
      </c>
      <c r="M99" s="9" t="s">
        <v>11</v>
      </c>
      <c r="N99" s="9" t="s">
        <v>12</v>
      </c>
      <c r="O99" s="9" t="s">
        <v>12</v>
      </c>
      <c r="P99" s="9" t="s">
        <v>12</v>
      </c>
    </row>
    <row r="100" spans="1:16" s="2" customFormat="1" ht="20.100000000000001" customHeight="1">
      <c r="A100" s="8" t="s">
        <v>152</v>
      </c>
      <c r="B100" s="15" t="s">
        <v>33</v>
      </c>
      <c r="C100" s="14" t="str">
        <f t="shared" si="3"/>
        <v>Subject1.OR</v>
      </c>
      <c r="D100" s="9" t="s">
        <v>164</v>
      </c>
      <c r="E100" s="9" t="s">
        <v>17</v>
      </c>
      <c r="F100" s="9" t="s">
        <v>2</v>
      </c>
      <c r="G100" s="9" t="s">
        <v>10</v>
      </c>
      <c r="H100" s="9" t="s">
        <v>28</v>
      </c>
      <c r="I100" s="10">
        <v>47</v>
      </c>
      <c r="J100" s="9" t="s">
        <v>12</v>
      </c>
      <c r="K100" s="9" t="s">
        <v>11</v>
      </c>
      <c r="L100" s="9" t="s">
        <v>11</v>
      </c>
      <c r="M100" s="9" t="s">
        <v>11</v>
      </c>
      <c r="N100" s="9" t="s">
        <v>12</v>
      </c>
      <c r="O100" s="9" t="s">
        <v>12</v>
      </c>
      <c r="P100" s="9" t="s">
        <v>12</v>
      </c>
    </row>
    <row r="101" spans="1:16" s="2" customFormat="1" ht="20.100000000000001" customHeight="1">
      <c r="A101" s="8" t="s">
        <v>153</v>
      </c>
      <c r="B101" s="15" t="s">
        <v>33</v>
      </c>
      <c r="C101" s="14" t="str">
        <f t="shared" si="3"/>
        <v>Subject1.FE</v>
      </c>
      <c r="D101" s="9" t="s">
        <v>165</v>
      </c>
      <c r="E101" s="9" t="s">
        <v>15</v>
      </c>
      <c r="F101" s="9" t="s">
        <v>2</v>
      </c>
      <c r="G101" s="9" t="s">
        <v>10</v>
      </c>
      <c r="H101" s="9" t="s">
        <v>28</v>
      </c>
      <c r="I101" s="10">
        <v>47</v>
      </c>
      <c r="J101" s="9" t="s">
        <v>12</v>
      </c>
      <c r="K101" s="9" t="s">
        <v>11</v>
      </c>
      <c r="L101" s="9" t="s">
        <v>11</v>
      </c>
      <c r="M101" s="9" t="s">
        <v>11</v>
      </c>
      <c r="N101" s="9" t="s">
        <v>12</v>
      </c>
      <c r="O101" s="9" t="s">
        <v>12</v>
      </c>
      <c r="P101" s="9" t="s">
        <v>12</v>
      </c>
    </row>
    <row r="102" spans="1:16" s="2" customFormat="1" ht="20.100000000000001" customHeight="1">
      <c r="A102" s="8" t="s">
        <v>154</v>
      </c>
      <c r="B102" s="15" t="s">
        <v>52</v>
      </c>
      <c r="C102" s="14" t="str">
        <f t="shared" si="3"/>
        <v>Subject8.EN</v>
      </c>
      <c r="D102" s="9" t="s">
        <v>161</v>
      </c>
      <c r="E102" s="9" t="s">
        <v>9</v>
      </c>
      <c r="F102" s="9" t="s">
        <v>1</v>
      </c>
      <c r="G102" s="9" t="s">
        <v>3</v>
      </c>
      <c r="H102" s="9" t="s">
        <v>3</v>
      </c>
      <c r="I102" s="10">
        <v>50</v>
      </c>
      <c r="J102" s="9" t="s">
        <v>12</v>
      </c>
      <c r="K102" s="9" t="s">
        <v>11</v>
      </c>
      <c r="L102" s="9" t="s">
        <v>12</v>
      </c>
      <c r="M102" s="9" t="s">
        <v>12</v>
      </c>
      <c r="N102" s="9" t="s">
        <v>11</v>
      </c>
      <c r="O102" s="9" t="s">
        <v>11</v>
      </c>
      <c r="P102" s="9" t="s">
        <v>12</v>
      </c>
    </row>
    <row r="103" spans="1:16" s="2" customFormat="1" ht="20.100000000000001" customHeight="1">
      <c r="A103" s="8" t="s">
        <v>155</v>
      </c>
      <c r="B103" s="15" t="s">
        <v>52</v>
      </c>
      <c r="C103" s="14" t="str">
        <f t="shared" si="3"/>
        <v>Subject8.EF</v>
      </c>
      <c r="D103" s="9" t="s">
        <v>162</v>
      </c>
      <c r="E103" s="9" t="s">
        <v>13</v>
      </c>
      <c r="F103" s="9" t="s">
        <v>1</v>
      </c>
      <c r="G103" s="9" t="s">
        <v>3</v>
      </c>
      <c r="H103" s="9" t="s">
        <v>3</v>
      </c>
      <c r="I103" s="10">
        <v>50</v>
      </c>
      <c r="J103" s="9" t="s">
        <v>12</v>
      </c>
      <c r="K103" s="9" t="s">
        <v>11</v>
      </c>
      <c r="L103" s="9" t="s">
        <v>12</v>
      </c>
      <c r="M103" s="9" t="s">
        <v>12</v>
      </c>
      <c r="N103" s="9" t="s">
        <v>11</v>
      </c>
      <c r="O103" s="9" t="s">
        <v>11</v>
      </c>
      <c r="P103" s="9" t="s">
        <v>12</v>
      </c>
    </row>
    <row r="104" spans="1:16" s="2" customFormat="1" ht="20.100000000000001" customHeight="1">
      <c r="A104" s="8" t="s">
        <v>156</v>
      </c>
      <c r="B104" s="15" t="s">
        <v>52</v>
      </c>
      <c r="C104" s="14" t="str">
        <f t="shared" si="3"/>
        <v>Subject8.VA</v>
      </c>
      <c r="D104" s="9" t="s">
        <v>163</v>
      </c>
      <c r="E104" s="9" t="s">
        <v>14</v>
      </c>
      <c r="F104" s="9" t="s">
        <v>1</v>
      </c>
      <c r="G104" s="9" t="s">
        <v>3</v>
      </c>
      <c r="H104" s="9" t="s">
        <v>3</v>
      </c>
      <c r="I104" s="10">
        <v>50</v>
      </c>
      <c r="J104" s="9" t="s">
        <v>12</v>
      </c>
      <c r="K104" s="9" t="s">
        <v>11</v>
      </c>
      <c r="L104" s="9" t="s">
        <v>12</v>
      </c>
      <c r="M104" s="9" t="s">
        <v>12</v>
      </c>
      <c r="N104" s="9" t="s">
        <v>11</v>
      </c>
      <c r="O104" s="9" t="s">
        <v>11</v>
      </c>
      <c r="P104" s="9" t="s">
        <v>12</v>
      </c>
    </row>
    <row r="105" spans="1:16" s="2" customFormat="1" ht="20.100000000000001" customHeight="1">
      <c r="A105" s="8" t="s">
        <v>157</v>
      </c>
      <c r="B105" s="15" t="s">
        <v>52</v>
      </c>
      <c r="C105" s="14" t="str">
        <f t="shared" si="3"/>
        <v>Subject8.OR</v>
      </c>
      <c r="D105" s="9" t="s">
        <v>164</v>
      </c>
      <c r="E105" s="9" t="s">
        <v>17</v>
      </c>
      <c r="F105" s="9" t="s">
        <v>2</v>
      </c>
      <c r="G105" s="9" t="s">
        <v>3</v>
      </c>
      <c r="H105" s="9" t="s">
        <v>3</v>
      </c>
      <c r="I105" s="10">
        <v>50</v>
      </c>
      <c r="J105" s="9" t="s">
        <v>12</v>
      </c>
      <c r="K105" s="9" t="s">
        <v>11</v>
      </c>
      <c r="L105" s="9" t="s">
        <v>12</v>
      </c>
      <c r="M105" s="9" t="s">
        <v>12</v>
      </c>
      <c r="N105" s="9" t="s">
        <v>11</v>
      </c>
      <c r="O105" s="9" t="s">
        <v>11</v>
      </c>
      <c r="P105" s="9" t="s">
        <v>12</v>
      </c>
    </row>
    <row r="106" spans="1:16" s="2" customFormat="1" ht="20.100000000000001" customHeight="1">
      <c r="A106" s="8" t="s">
        <v>158</v>
      </c>
      <c r="B106" s="15" t="s">
        <v>52</v>
      </c>
      <c r="C106" s="14" t="str">
        <f t="shared" si="3"/>
        <v>Subject8.FE</v>
      </c>
      <c r="D106" s="9" t="s">
        <v>165</v>
      </c>
      <c r="E106" s="9" t="s">
        <v>15</v>
      </c>
      <c r="F106" s="9" t="s">
        <v>2</v>
      </c>
      <c r="G106" s="9" t="s">
        <v>3</v>
      </c>
      <c r="H106" s="9" t="s">
        <v>3</v>
      </c>
      <c r="I106" s="10">
        <v>50</v>
      </c>
      <c r="J106" s="9" t="s">
        <v>12</v>
      </c>
      <c r="K106" s="9" t="s">
        <v>11</v>
      </c>
      <c r="L106" s="9" t="s">
        <v>12</v>
      </c>
      <c r="M106" s="9" t="s">
        <v>12</v>
      </c>
      <c r="N106" s="9" t="s">
        <v>11</v>
      </c>
      <c r="O106" s="9" t="s">
        <v>11</v>
      </c>
      <c r="P106" s="9" t="s">
        <v>12</v>
      </c>
    </row>
  </sheetData>
  <sortState ref="A2:N106">
    <sortCondition ref="A2:A106"/>
  </sortState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abundance_family_table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Sequencing</dc:creator>
  <cp:lastModifiedBy>Sequencing</cp:lastModifiedBy>
  <dcterms:created xsi:type="dcterms:W3CDTF">2023-10-24T09:26:28Z</dcterms:created>
  <dcterms:modified xsi:type="dcterms:W3CDTF">2023-11-08T08:44:28Z</dcterms:modified>
</cp:coreProperties>
</file>